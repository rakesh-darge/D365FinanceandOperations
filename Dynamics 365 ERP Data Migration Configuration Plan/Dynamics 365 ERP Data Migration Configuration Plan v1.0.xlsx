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D:\Rakesh\Personal\Blog posts\Blog Post 37\"/>
    </mc:Choice>
  </mc:AlternateContent>
  <xr:revisionPtr revIDLastSave="0" documentId="13_ncr:1_{803F8D2C-C93D-47A9-AD21-1EF6EEB6C94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1" l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35" i="1"/>
  <c r="G36" i="1"/>
  <c r="G37" i="1"/>
  <c r="G38" i="1"/>
  <c r="G39" i="1"/>
  <c r="G40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221" i="1"/>
  <c r="G222" i="1"/>
  <c r="G223" i="1"/>
  <c r="G224" i="1"/>
  <c r="G225" i="1"/>
  <c r="G226" i="1"/>
  <c r="G227" i="1"/>
  <c r="G228" i="1"/>
  <c r="G229" i="1"/>
  <c r="G230" i="1"/>
</calcChain>
</file>

<file path=xl/sharedStrings.xml><?xml version="1.0" encoding="utf-8"?>
<sst xmlns="http://schemas.openxmlformats.org/spreadsheetml/2006/main" count="1354" uniqueCount="503">
  <si>
    <t>Data Package</t>
  </si>
  <si>
    <t>Entity name</t>
  </si>
  <si>
    <t>Unit</t>
  </si>
  <si>
    <t>Level</t>
  </si>
  <si>
    <t>Seq</t>
  </si>
  <si>
    <t>Entity Type</t>
  </si>
  <si>
    <t>TemplateID_Unit_Level_Sequence_Data Entity Name</t>
  </si>
  <si>
    <t>010-System Administration</t>
  </si>
  <si>
    <t>01.1.006 SYS – Legal entities</t>
  </si>
  <si>
    <t>Legal entites</t>
  </si>
  <si>
    <t>01</t>
  </si>
  <si>
    <t>Configuration</t>
  </si>
  <si>
    <t>010_01_10_10_Legal entities</t>
  </si>
  <si>
    <t>01.1.003 SYS - Address Basic setup for Legal Entities</t>
  </si>
  <si>
    <t>Address and contact information purpose</t>
  </si>
  <si>
    <t>010_01_10_15_Address and contact information purpose</t>
  </si>
  <si>
    <t>01.1.001 SYS - Currencies</t>
  </si>
  <si>
    <t>Currencies</t>
  </si>
  <si>
    <t>010_01_10_15_Currencies</t>
  </si>
  <si>
    <t>01.1.002 SYS – System parameters</t>
  </si>
  <si>
    <t>Exchange rates</t>
  </si>
  <si>
    <t>010_01_10_20_Exchange rates</t>
  </si>
  <si>
    <t>Exchange rate type</t>
  </si>
  <si>
    <t>010_01_10_25_Exchange rate type</t>
  </si>
  <si>
    <t>System parameters</t>
  </si>
  <si>
    <t>010_01_10_30_System parameters</t>
  </si>
  <si>
    <t>01.1.007 – Operating units</t>
  </si>
  <si>
    <t>Operating unit</t>
  </si>
  <si>
    <t>010_01_10_80_Operating unit</t>
  </si>
  <si>
    <t>01.1.009 SYS – Units</t>
  </si>
  <si>
    <t>Units</t>
  </si>
  <si>
    <t>300</t>
  </si>
  <si>
    <t>010_01_10_40_Units</t>
  </si>
  <si>
    <t>310.01.01 - Product information management</t>
  </si>
  <si>
    <t>Unit translations</t>
  </si>
  <si>
    <t>10</t>
  </si>
  <si>
    <t>50</t>
  </si>
  <si>
    <t>Reference</t>
  </si>
  <si>
    <t>010_01_10_50_Unit Translations</t>
  </si>
  <si>
    <t>Unit conversions</t>
  </si>
  <si>
    <t>20</t>
  </si>
  <si>
    <t>010_01_10_50_Unit conversions</t>
  </si>
  <si>
    <t>410 .01.01- Production control</t>
  </si>
  <si>
    <t>Shared category</t>
  </si>
  <si>
    <t>Master</t>
  </si>
  <si>
    <t>010_01_20_10_Shared category</t>
  </si>
  <si>
    <t>Number sequence code V2</t>
  </si>
  <si>
    <t>Number Sequence Code v2</t>
  </si>
  <si>
    <t>Operations Resource</t>
  </si>
  <si>
    <t>Time transaction</t>
  </si>
  <si>
    <t>30</t>
  </si>
  <si>
    <t>Number Sequence Reference</t>
  </si>
  <si>
    <t>Global address Book</t>
  </si>
  <si>
    <t>States</t>
  </si>
  <si>
    <t>70</t>
  </si>
  <si>
    <t>Cities</t>
  </si>
  <si>
    <t>Zipcode</t>
  </si>
  <si>
    <t>40</t>
  </si>
  <si>
    <t>Employee V2</t>
  </si>
  <si>
    <t>Fixed Assets V2</t>
  </si>
  <si>
    <t>60</t>
  </si>
  <si>
    <t>Fixed asset book V2</t>
  </si>
  <si>
    <t>Customer V3</t>
  </si>
  <si>
    <t>110</t>
  </si>
  <si>
    <t>Vendor V2</t>
  </si>
  <si>
    <t>150</t>
  </si>
  <si>
    <t>Postal Address</t>
  </si>
  <si>
    <t>03.1.001 GL - Chart of Accounts - Shared</t>
  </si>
  <si>
    <t>Chart of accounts</t>
  </si>
  <si>
    <t>020_01_20_10_Chart of accounts</t>
  </si>
  <si>
    <t>Financial Dimensions</t>
  </si>
  <si>
    <t>020_01_20_10_Financial dimensions</t>
  </si>
  <si>
    <t>Fiscal calendar</t>
  </si>
  <si>
    <t>020_01_20_10_Fiscal calendar</t>
  </si>
  <si>
    <t>Main account</t>
  </si>
  <si>
    <t>020_01_20_20_Main account</t>
  </si>
  <si>
    <t>03.1.003 GL - Fiscal Calendar - Shared</t>
  </si>
  <si>
    <t>Fiscal calendar period</t>
  </si>
  <si>
    <t>020_01_20_20_Fiscal calendar period</t>
  </si>
  <si>
    <t>Financial dimension values</t>
  </si>
  <si>
    <t>020_01_20_30_Financial dimension values</t>
  </si>
  <si>
    <t>Reason code</t>
  </si>
  <si>
    <t>Configuration groups</t>
  </si>
  <si>
    <t>Aging period definations</t>
  </si>
  <si>
    <t>Journal Description</t>
  </si>
  <si>
    <t>Fiscal Close group</t>
  </si>
  <si>
    <t>Fiscal Close Ledger Options</t>
  </si>
  <si>
    <t>025 - General ledger</t>
  </si>
  <si>
    <t>03.1.002 GL - Account Structures - Shared</t>
  </si>
  <si>
    <t>Account structures</t>
  </si>
  <si>
    <t>025_01_20_35_Account structure</t>
  </si>
  <si>
    <t>03.1.005 GL – Ledger Journals</t>
  </si>
  <si>
    <t>Journal names</t>
  </si>
  <si>
    <t>25</t>
  </si>
  <si>
    <t>025_01_25_20_Journal names</t>
  </si>
  <si>
    <t>03.1.004 GL – Ledger Setup</t>
  </si>
  <si>
    <t>Ledger parameters</t>
  </si>
  <si>
    <t>025_01_25_15_Ledger parameters</t>
  </si>
  <si>
    <t>Ledger fiscal calendar year</t>
  </si>
  <si>
    <t>025_01_25_20_Ledger fiscal calendar year</t>
  </si>
  <si>
    <t>Ledger fiscal calendar period</t>
  </si>
  <si>
    <t>025_01_25_25_Ledger fiscal calendar period</t>
  </si>
  <si>
    <t>Ledger</t>
  </si>
  <si>
    <t>025_01_25_10_Ledger</t>
  </si>
  <si>
    <t>Ledger fiscal calendar period V2</t>
  </si>
  <si>
    <t>025_01_25_20_Ledger fiscal calender period V2</t>
  </si>
  <si>
    <t>03.1.001 BANK – Bank Setup</t>
  </si>
  <si>
    <t>Bank parameters</t>
  </si>
  <si>
    <t>100_01_40_30_Bank parameters</t>
  </si>
  <si>
    <t>03.1.002 BANK – Bank Accounts</t>
  </si>
  <si>
    <t>Bank groups</t>
  </si>
  <si>
    <t>100_01_30_10_Bank groups</t>
  </si>
  <si>
    <t>Bank accounts</t>
  </si>
  <si>
    <t>100</t>
  </si>
  <si>
    <t>100_01_100_10_Bank accounts</t>
  </si>
  <si>
    <t>10.1.001 AP – AP and AR  Vendors</t>
  </si>
  <si>
    <t>10.1.001 AP – AP and AR Shared Setup</t>
  </si>
  <si>
    <t>Terms of delivery</t>
  </si>
  <si>
    <t>120_01_30_10_Terms of delivery</t>
  </si>
  <si>
    <t>Terms of payment</t>
  </si>
  <si>
    <t>120_01_40_15_Terms of payment</t>
  </si>
  <si>
    <t>10.1.002 AP – Vendor Payment Setup</t>
  </si>
  <si>
    <t>Vendor payment method</t>
  </si>
  <si>
    <t>120</t>
  </si>
  <si>
    <t>120_01_120_10_Vendor payment method</t>
  </si>
  <si>
    <t>10.1.004 AP – Vendors</t>
  </si>
  <si>
    <t>Vendor groups</t>
  </si>
  <si>
    <t>120_01_40_25_Vendor groups</t>
  </si>
  <si>
    <t>10.1.005 AP – AP Parameters</t>
  </si>
  <si>
    <t>Vendor posting profile</t>
  </si>
  <si>
    <t>120_01_120_45_Vendor posting profile</t>
  </si>
  <si>
    <t>Vendor Ledger accounts</t>
  </si>
  <si>
    <t>120_01_120_50_Vendor ledger accounts</t>
  </si>
  <si>
    <t>Vendor parameters</t>
  </si>
  <si>
    <t>120_01_120_60_Vendor parameters</t>
  </si>
  <si>
    <t>130 - Tax</t>
  </si>
  <si>
    <t>10.1.007 Tax – Sales Tax Code Groups</t>
  </si>
  <si>
    <t>Sales tax exempt code</t>
  </si>
  <si>
    <t>130_01_30_10_Sales tax exempt code</t>
  </si>
  <si>
    <t>Sales tax exempt numbers</t>
  </si>
  <si>
    <t>130_01_30_10_Sales tax exempt numbers</t>
  </si>
  <si>
    <t>Sales tax groups</t>
  </si>
  <si>
    <t>130_01_30_10_Sales tax groups</t>
  </si>
  <si>
    <t>Sales tax reporting codes</t>
  </si>
  <si>
    <t>130_01_30_10_Sales tax reporting codes</t>
  </si>
  <si>
    <t>Sales tax codes</t>
  </si>
  <si>
    <t>130</t>
  </si>
  <si>
    <t>130_01_130_30_Sales tax codes</t>
  </si>
  <si>
    <t>Sales tax item groups</t>
  </si>
  <si>
    <t>130_01_130_40_Sales tax item groups</t>
  </si>
  <si>
    <t>Sales tax group details</t>
  </si>
  <si>
    <t>130_01_130_40_Sales tax group details</t>
  </si>
  <si>
    <t>Sales tax code values V2</t>
  </si>
  <si>
    <t>130_01_130_40_Sales tax code values V2</t>
  </si>
  <si>
    <t>Item sales tax group</t>
  </si>
  <si>
    <t>130_01_130_10_Item sales tax group</t>
  </si>
  <si>
    <t>10.1.006 Tax – Sales Tax Setup</t>
  </si>
  <si>
    <t>Sales tax ledger posting groups V2</t>
  </si>
  <si>
    <t>130_01_30_20_Sales tax ledger posting groups V2</t>
  </si>
  <si>
    <t>10.1.008 Tax – Sales Tax Parameters</t>
  </si>
  <si>
    <t>Sales tax parameters</t>
  </si>
  <si>
    <t>130_01_130_50_Sales tax parameters</t>
  </si>
  <si>
    <t>Sales tax authorities</t>
  </si>
  <si>
    <t>130_01_130_10_Sales tax authorities</t>
  </si>
  <si>
    <t>Sales tax period setup</t>
  </si>
  <si>
    <t>130_01_130_20_Sales tax period setup</t>
  </si>
  <si>
    <t>Sales tax period description</t>
  </si>
  <si>
    <t>130_01_130_80_Sales tax period description</t>
  </si>
  <si>
    <t>Sales tax country/region parameters</t>
  </si>
  <si>
    <t>Parameters</t>
  </si>
  <si>
    <t>130_01_30_10_Sales tax country/region parameters</t>
  </si>
  <si>
    <t>11.1.003 AR – Customers</t>
  </si>
  <si>
    <t>Customer groups</t>
  </si>
  <si>
    <t>140_01_50_20_Customer groups</t>
  </si>
  <si>
    <t>11.1.001 AR – Customer payment setup</t>
  </si>
  <si>
    <t>Customer payment method</t>
  </si>
  <si>
    <t>140</t>
  </si>
  <si>
    <t>140_01_140_10_Customer payment method</t>
  </si>
  <si>
    <t>11.1.004 AR – Accounts receivable parameters</t>
  </si>
  <si>
    <t>Customer posting profiles</t>
  </si>
  <si>
    <t>140_01_140_30_Customer posting profiles</t>
  </si>
  <si>
    <t>Customer ledger accounts</t>
  </si>
  <si>
    <t>140_01_140_40_Customer ledger accounts</t>
  </si>
  <si>
    <t>Customer parameters</t>
  </si>
  <si>
    <t>140_01_140_40_Customer parameters</t>
  </si>
  <si>
    <t>Credit and Collection (Account Receivable)</t>
  </si>
  <si>
    <t>Collection letter setup</t>
  </si>
  <si>
    <t>140_01_50_30_Collection letter setup</t>
  </si>
  <si>
    <t>Credit management parameter</t>
  </si>
  <si>
    <t>140_01_50_40_Credit management parameter</t>
  </si>
  <si>
    <t>150 - Fixed assets</t>
  </si>
  <si>
    <t>16.01.002 FA – Fixed assets setup</t>
  </si>
  <si>
    <t>Fixed asset depreciation profiles</t>
  </si>
  <si>
    <t>150_01_40_10_Fixed Asset Depreciation Profile</t>
  </si>
  <si>
    <t>Fixed Asset Groups</t>
  </si>
  <si>
    <t>150_01_40_10_Fixed Asset Groups</t>
  </si>
  <si>
    <t>Fixed asset book setup</t>
  </si>
  <si>
    <t>150_01_50_30_Fixed Asset Book Setup</t>
  </si>
  <si>
    <t>Fixed asset group book setup</t>
  </si>
  <si>
    <t>150_01_50_20_Fixed asset group book setup</t>
  </si>
  <si>
    <t>Fixed Asset Posting Profile</t>
  </si>
  <si>
    <t>150_01_50_20_Fixed Asset Posting Profile</t>
  </si>
  <si>
    <t>Fixed asset posting profile disposal</t>
  </si>
  <si>
    <t>150_01_60_10_Fixed asset posting profile disposal</t>
  </si>
  <si>
    <t>Fixed asset parameters</t>
  </si>
  <si>
    <t>150_01_150_60_Fixed asset parameters</t>
  </si>
  <si>
    <t>16.01.003 FA – Fixed assets</t>
  </si>
  <si>
    <t>150_01_50_45_Fixed asset book V2</t>
  </si>
  <si>
    <t>Fixed asset locations</t>
  </si>
  <si>
    <t>150_01_30_10_Fixed asset locations</t>
  </si>
  <si>
    <t>300 - Inventory</t>
  </si>
  <si>
    <t>19.1.001 INV - Site Setup</t>
  </si>
  <si>
    <t>Sites V2</t>
  </si>
  <si>
    <t>300_01_300_40_Sites V2</t>
  </si>
  <si>
    <t>19.1.002 INV - Warehouse Setup</t>
  </si>
  <si>
    <t>Warehouses</t>
  </si>
  <si>
    <t>300_01_300_50_Warehouses</t>
  </si>
  <si>
    <t>800 .01.01- Inventory and warehouse management</t>
  </si>
  <si>
    <t>Costing Versions</t>
  </si>
  <si>
    <t>300_01_30_10_Costing Verions</t>
  </si>
  <si>
    <t>Default order settings</t>
  </si>
  <si>
    <t>300_01_01_25_Default order settings</t>
  </si>
  <si>
    <t>300 .01.300- Inventory</t>
  </si>
  <si>
    <t>Inventory parameters</t>
  </si>
  <si>
    <t>90</t>
  </si>
  <si>
    <t>300_01_300_90_Inventory parameters</t>
  </si>
  <si>
    <t>300.01.40 - Inventory</t>
  </si>
  <si>
    <t>Item groups</t>
  </si>
  <si>
    <t>300_01_40_10_Item groups</t>
  </si>
  <si>
    <t>300 .01.30- Inventory</t>
  </si>
  <si>
    <t>Calculation groups</t>
  </si>
  <si>
    <t>300_01_30_10_Calculation groups</t>
  </si>
  <si>
    <t>300 .01.40- Inventory</t>
  </si>
  <si>
    <t>Item model group inventory policies</t>
  </si>
  <si>
    <t>300_01_40_10_Item model group inventory policies</t>
  </si>
  <si>
    <t>301 .01.30- Inventory</t>
  </si>
  <si>
    <t>Tracking number groups</t>
  </si>
  <si>
    <t>300_01_40_10_Tracking number groups</t>
  </si>
  <si>
    <t>301 .01.40- Inventory</t>
  </si>
  <si>
    <t>Bill of materials journal names</t>
  </si>
  <si>
    <t>300_01_40_10_Bill of materials journal names</t>
  </si>
  <si>
    <t>302 .01.30- Inventory</t>
  </si>
  <si>
    <t>Inventory adjusment journal name</t>
  </si>
  <si>
    <t>300_01_40_10_Inventory adjusment journal name</t>
  </si>
  <si>
    <t>302 .01.40- Inventory</t>
  </si>
  <si>
    <t>Inventory counting journal name</t>
  </si>
  <si>
    <t>300_01_40_10_Inventory counting journal name</t>
  </si>
  <si>
    <t>303 .01.30- Inventory</t>
  </si>
  <si>
    <t>Inventory movement journal name</t>
  </si>
  <si>
    <t>300_01_40_10_Inventory movement journal name</t>
  </si>
  <si>
    <t>303 .01.40- Inventory</t>
  </si>
  <si>
    <t>Inventory tag counting journal name</t>
  </si>
  <si>
    <t>300_01_40_10_Inventory tag counting journal name</t>
  </si>
  <si>
    <t>304 .01.30- Inventory</t>
  </si>
  <si>
    <t>Inventory transfer  journal name</t>
  </si>
  <si>
    <t>300_01_40_10_Inventory transfer  journal name</t>
  </si>
  <si>
    <t>304 .01.40- Inventory</t>
  </si>
  <si>
    <t>Project Inventory consumption journal names</t>
  </si>
  <si>
    <t>300_01_40_10_Project Inventory consumption journal names</t>
  </si>
  <si>
    <t>305 .01.30- Inventory</t>
  </si>
  <si>
    <t>300_01_300_10_Default order settings</t>
  </si>
  <si>
    <t>305 .01.40- Inventory</t>
  </si>
  <si>
    <t>Inventory Aisle</t>
  </si>
  <si>
    <t>300_01_300_10_Inventory Aisle</t>
  </si>
  <si>
    <t>306 .01.30- Inventory</t>
  </si>
  <si>
    <t>WareHouse Location</t>
  </si>
  <si>
    <t>300_01_300_10_WareHouse Location</t>
  </si>
  <si>
    <t>306 .01.40- Inventory</t>
  </si>
  <si>
    <t>Warehouse management parameter</t>
  </si>
  <si>
    <t>300_01_300_10_Warehouse management parameter</t>
  </si>
  <si>
    <t>Service management parameters</t>
  </si>
  <si>
    <t>305_01_10_10_Service management parameters</t>
  </si>
  <si>
    <t>Commodity Codes</t>
  </si>
  <si>
    <t>Production pools</t>
  </si>
  <si>
    <t>Cost groups</t>
  </si>
  <si>
    <t>Diagnosis areas</t>
  </si>
  <si>
    <t>Production groups</t>
  </si>
  <si>
    <t>Buyer groups</t>
  </si>
  <si>
    <t>Counting groups</t>
  </si>
  <si>
    <t>Service category</t>
  </si>
  <si>
    <t>Service intervals</t>
  </si>
  <si>
    <t>305</t>
  </si>
  <si>
    <t>Service object groups</t>
  </si>
  <si>
    <t>Service objects</t>
  </si>
  <si>
    <t>Service repair conditions</t>
  </si>
  <si>
    <t>Service stages</t>
  </si>
  <si>
    <t>Service tasks</t>
  </si>
  <si>
    <t>Symptom areas</t>
  </si>
  <si>
    <t>310 - Product information management</t>
  </si>
  <si>
    <t>310.01.30 - Product information management</t>
  </si>
  <si>
    <t>Product lifecycle states</t>
  </si>
  <si>
    <t>310_01_30_10_Product lifecycle states</t>
  </si>
  <si>
    <t>Product dimension groups</t>
  </si>
  <si>
    <t>310_01_30_10_Product dimension groups</t>
  </si>
  <si>
    <t>Storage dimension groups</t>
  </si>
  <si>
    <t>310_01_30_10_Storage dimension groups</t>
  </si>
  <si>
    <t>Tracking dimension groups</t>
  </si>
  <si>
    <t>310_01_30_10_Tracking dimension groups</t>
  </si>
  <si>
    <t>Product category information pages</t>
  </si>
  <si>
    <t>310_01_40_20_Product category information pages</t>
  </si>
  <si>
    <t>Product Parameters</t>
  </si>
  <si>
    <t>310_01_40_20_Product Parameters</t>
  </si>
  <si>
    <t>330 - Procurement and Sourcing</t>
  </si>
  <si>
    <t>Modes of Delivery</t>
  </si>
  <si>
    <t>330</t>
  </si>
  <si>
    <t>330_01_330_10_Modes of Delivery</t>
  </si>
  <si>
    <t>Trade agreement journal headers</t>
  </si>
  <si>
    <t>330_01_330_20_Trade agreement journal headers</t>
  </si>
  <si>
    <t>Trade agreement journal name</t>
  </si>
  <si>
    <t>330_01_330_30_Trade agreement journal name</t>
  </si>
  <si>
    <t>Trade agreement journal table V2</t>
  </si>
  <si>
    <t>330_01_330_40_Trade agreement journal table V2</t>
  </si>
  <si>
    <t>410-Production Control</t>
  </si>
  <si>
    <t>410.01.20 - Production control</t>
  </si>
  <si>
    <t>Route groups</t>
  </si>
  <si>
    <t>410</t>
  </si>
  <si>
    <t>410_01_410_20_Route groups</t>
  </si>
  <si>
    <t>410 .01.- Production control</t>
  </si>
  <si>
    <t>Route cost category</t>
  </si>
  <si>
    <t>410_01_30_90_Route cost category</t>
  </si>
  <si>
    <t>410.01.20-Production Control</t>
  </si>
  <si>
    <t>Working time templates</t>
  </si>
  <si>
    <t>410_01_20_10_Working time templates</t>
  </si>
  <si>
    <t>410.01.25-Production Control</t>
  </si>
  <si>
    <t>Calendar</t>
  </si>
  <si>
    <t>410_01_25_10_Calendar</t>
  </si>
  <si>
    <t>410.01.410-Production Control</t>
  </si>
  <si>
    <t>Production journal names</t>
  </si>
  <si>
    <t>410_01_410_40_Production journal names</t>
  </si>
  <si>
    <t>Production control parameters</t>
  </si>
  <si>
    <t>410_01_410_70_Production control parameters</t>
  </si>
  <si>
    <t>Production unit</t>
  </si>
  <si>
    <t>Resource groups</t>
  </si>
  <si>
    <t>Working time</t>
  </si>
  <si>
    <t>Working times</t>
  </si>
  <si>
    <t>Released product creation V2</t>
  </si>
  <si>
    <t>Configurations</t>
  </si>
  <si>
    <t>Product master configuration</t>
  </si>
  <si>
    <t>Versions</t>
  </si>
  <si>
    <t>Product master versions</t>
  </si>
  <si>
    <t>Released product V2</t>
  </si>
  <si>
    <t>Released product variants V2</t>
  </si>
  <si>
    <t>BOM Header and Version</t>
  </si>
  <si>
    <t>Bom Versions</t>
  </si>
  <si>
    <t>Bom Lines</t>
  </si>
  <si>
    <t>Operations</t>
  </si>
  <si>
    <t>Route header</t>
  </si>
  <si>
    <t>Route ops properties</t>
  </si>
  <si>
    <t>Route properties</t>
  </si>
  <si>
    <t>Route versions</t>
  </si>
  <si>
    <t>Released product warehouse default v2</t>
  </si>
  <si>
    <t>430 - Master planning</t>
  </si>
  <si>
    <t>Master planning parameter</t>
  </si>
  <si>
    <t>Parameter</t>
  </si>
  <si>
    <t>430_01_30_50_Master planning parameter</t>
  </si>
  <si>
    <t>Master plan</t>
  </si>
  <si>
    <t>430_01_30_40_Master plan</t>
  </si>
  <si>
    <t>Item coverage groups</t>
  </si>
  <si>
    <t>430_01_300_60_Item coverage groups</t>
  </si>
  <si>
    <t>Forecast plans</t>
  </si>
  <si>
    <t>430_01_30_40_Forecast Plans</t>
  </si>
  <si>
    <t>Forecast Models</t>
  </si>
  <si>
    <t>430_01_30_10_Forecast Models</t>
  </si>
  <si>
    <t>650 - Project Accounting</t>
  </si>
  <si>
    <t>Project journal names</t>
  </si>
  <si>
    <t>650_01_40_10_Project journal names</t>
  </si>
  <si>
    <t>650.01.650 - Project Accounting</t>
  </si>
  <si>
    <t>Project Parameters</t>
  </si>
  <si>
    <t>650</t>
  </si>
  <si>
    <t>650_01_650_10_Project Parameters V2</t>
  </si>
  <si>
    <t>650.01.40 - Project Accounting</t>
  </si>
  <si>
    <t>Project category group</t>
  </si>
  <si>
    <t>650_01_40_10_Project category group</t>
  </si>
  <si>
    <t>Category table</t>
  </si>
  <si>
    <t>650_01_40_10_Category table</t>
  </si>
  <si>
    <t>650 .01.60- Project Accounting</t>
  </si>
  <si>
    <t>Project category</t>
  </si>
  <si>
    <t>650_01_60_10_Project category</t>
  </si>
  <si>
    <t>Project cost template</t>
  </si>
  <si>
    <t>650_01_650_10_Project cost template</t>
  </si>
  <si>
    <t>650.01.30 - Project Accounting</t>
  </si>
  <si>
    <t>Project Line Property</t>
  </si>
  <si>
    <t>650_01_30_10_Project Line Property</t>
  </si>
  <si>
    <t>650.01.70 - Project Accounting</t>
  </si>
  <si>
    <t xml:space="preserve">Project groups </t>
  </si>
  <si>
    <t>650_01_70_10_Project groups V2</t>
  </si>
  <si>
    <t>Project Ledger Posting Definition</t>
  </si>
  <si>
    <t>15</t>
  </si>
  <si>
    <t>650_01_70_15_Project Ledger Posting Definition</t>
  </si>
  <si>
    <t>Project Periods</t>
  </si>
  <si>
    <t>05</t>
  </si>
  <si>
    <t>650_01_70_05_Project Periods</t>
  </si>
  <si>
    <t>Project Line Property Setup</t>
  </si>
  <si>
    <t>650_01_70_10_Project Line Property Setup</t>
  </si>
  <si>
    <t>Project line properties</t>
  </si>
  <si>
    <t>650_01_70_15_Project Line Properties</t>
  </si>
  <si>
    <t>Project work breakdown structure template tasks</t>
  </si>
  <si>
    <t>650_01_70_05_Project work breakdown structure template tasks</t>
  </si>
  <si>
    <t>Project work breakdown structure</t>
  </si>
  <si>
    <t>650_01_70_10_Project work breakdown structure</t>
  </si>
  <si>
    <t>800.01.01 - Engineering change management</t>
  </si>
  <si>
    <t>Engineering organizations</t>
  </si>
  <si>
    <t>Engineering product version numbering rule list members</t>
  </si>
  <si>
    <t>Engineering product category details</t>
  </si>
  <si>
    <t>800.02.01 - Engineering change management</t>
  </si>
  <si>
    <t>Product owner</t>
  </si>
  <si>
    <t>Engineering change reasons</t>
  </si>
  <si>
    <t>11</t>
  </si>
  <si>
    <t>800.02.02 - Engineering change management</t>
  </si>
  <si>
    <t>Engineering change severities</t>
  </si>
  <si>
    <t>800</t>
  </si>
  <si>
    <t>Engineering product version numbering rules</t>
  </si>
  <si>
    <t>800.03.01 - Engineering change management</t>
  </si>
  <si>
    <t>Engineering change management parameter</t>
  </si>
  <si>
    <t>Engineering change management priorities</t>
  </si>
  <si>
    <t>12</t>
  </si>
  <si>
    <t>Engineering change management categories</t>
  </si>
  <si>
    <t>Bank Transaction Types</t>
  </si>
  <si>
    <t>800 - ECM</t>
  </si>
  <si>
    <t>03.1.001 BANK</t>
  </si>
  <si>
    <t>Lease journal parameters</t>
  </si>
  <si>
    <t>160</t>
  </si>
  <si>
    <t>01_160_10_Lease journal parameters</t>
  </si>
  <si>
    <t>Lease Posting Accounts</t>
  </si>
  <si>
    <t>01_160_10_Lease Posting Accounts</t>
  </si>
  <si>
    <t>Expense Type</t>
  </si>
  <si>
    <t>01_160_10_Expense Type</t>
  </si>
  <si>
    <t>Executory cost accounts</t>
  </si>
  <si>
    <t>01_160_10_Executory cost accounts</t>
  </si>
  <si>
    <t>Lease Group</t>
  </si>
  <si>
    <t>01_160_10_Lease Group</t>
  </si>
  <si>
    <t>Book Table</t>
  </si>
  <si>
    <t>01_160_10_Book Table</t>
  </si>
  <si>
    <t>Lease Books</t>
  </si>
  <si>
    <t>01_160_10_Lease Books</t>
  </si>
  <si>
    <t>Index rate (%)</t>
  </si>
  <si>
    <t>01_160_10_Index rate (%)</t>
  </si>
  <si>
    <t>Index Rate Type</t>
  </si>
  <si>
    <t>01_160_10_Index Rate Type</t>
  </si>
  <si>
    <t>Index rate revaluation</t>
  </si>
  <si>
    <t>01_160_10_Index rate revaluation</t>
  </si>
  <si>
    <t>Index rate revaluation details</t>
  </si>
  <si>
    <t>01_160_10_Index rate revaluation details</t>
  </si>
  <si>
    <t>Location Details</t>
  </si>
  <si>
    <t>01_160_10_Location Details</t>
  </si>
  <si>
    <t>Lease payment amount types</t>
  </si>
  <si>
    <t>01_160_10_Lease payment amount types</t>
  </si>
  <si>
    <t>Book group relation table</t>
  </si>
  <si>
    <t>01_160_10_Book group relation table</t>
  </si>
  <si>
    <t>Payment schedule contract</t>
  </si>
  <si>
    <t>01_160_10_Payment schedule contract</t>
  </si>
  <si>
    <t>Executory cost contract</t>
  </si>
  <si>
    <t>01_160_10_Executory cost contract</t>
  </si>
  <si>
    <t>Parent leases</t>
  </si>
  <si>
    <t>01_160_10_Parent leases</t>
  </si>
  <si>
    <t>Lease payment schedule</t>
  </si>
  <si>
    <t>01_160_10_Lease payment schedule</t>
  </si>
  <si>
    <t>Lease payment amount breakdown</t>
  </si>
  <si>
    <t>01_160_10_Lease payment amount breakdown</t>
  </si>
  <si>
    <t>Lease liability transactions</t>
  </si>
  <si>
    <t>01_160_10_Lease liability transactions</t>
  </si>
  <si>
    <t>Lease liability amortization schedule</t>
  </si>
  <si>
    <t>01_160_10_Lease liability amortization schedule</t>
  </si>
  <si>
    <t>Lease import header</t>
  </si>
  <si>
    <t>01_160_10_Lease import header</t>
  </si>
  <si>
    <t>Field selection setup table</t>
  </si>
  <si>
    <t>01_160_10_Field selection setup table</t>
  </si>
  <si>
    <t>Asset depreciation schedule</t>
  </si>
  <si>
    <t>01_160_10_Asset depreciation schedule</t>
  </si>
  <si>
    <t>Executory cost schedule</t>
  </si>
  <si>
    <t>01_160_10_Executory cost schedule</t>
  </si>
  <si>
    <t>160 Asset Leasing</t>
  </si>
  <si>
    <t>17.01.002 Asset Leasing - Asset Leasing Parameters</t>
  </si>
  <si>
    <t>17.01.002 Asset Leasing - Lease Posting Accounts</t>
  </si>
  <si>
    <t>17.01.002 Asset Leasing - Expense Type</t>
  </si>
  <si>
    <t>17.01.002 Asset Leasing - Executory cost accounts</t>
  </si>
  <si>
    <t>17.01.002 Asset Leasing - Lease Groups</t>
  </si>
  <si>
    <t>17.01.002 Asset Leasing - Book Table</t>
  </si>
  <si>
    <t>17.01.002 Asset Leasing - Lease Books</t>
  </si>
  <si>
    <t>17.01.002 Asset Leasing - Index rate (%)</t>
  </si>
  <si>
    <t>17.01.002 Asset Leasing - Index Rate Type</t>
  </si>
  <si>
    <t>17.01.002 Asset Leasing - Index rate revaluation</t>
  </si>
  <si>
    <t>17.01.002 Asset Leasing - Index rate revaluation details</t>
  </si>
  <si>
    <t>17.01.002 Asset Leasing - Location Details</t>
  </si>
  <si>
    <t>17.01.002 Asset Leasing - Lease payment amount types</t>
  </si>
  <si>
    <t>17.01.002 Asset Leasing - Book group relation table</t>
  </si>
  <si>
    <t>17.01.002 Asset Leasing - Payment schedule contract</t>
  </si>
  <si>
    <t>17.01.002 Asset Leasing - Executory cost contract</t>
  </si>
  <si>
    <t>17.01.002 Asset Leasing - Parent leases</t>
  </si>
  <si>
    <t>17.01.002 Asset Leasing - Lease payment schedule</t>
  </si>
  <si>
    <t>17.01.002 Asset Leasing - Lease payment amount breakdown</t>
  </si>
  <si>
    <t>17.01.002 Asset Leasing - Lease liability transactions</t>
  </si>
  <si>
    <t>17.01.002 Asset Leasing - Lease liability amortization schedule</t>
  </si>
  <si>
    <t>17.01.002 Asset Leasing - Lease import header</t>
  </si>
  <si>
    <t>17.01.002 Asset Leasing - Field selection setup table</t>
  </si>
  <si>
    <t>17.01.002 Asset Leasing - Asset depreciation schedule</t>
  </si>
  <si>
    <t>17.01.002 Asset Leasing - Executory cost schedule</t>
  </si>
  <si>
    <t>309 - Service Management</t>
  </si>
  <si>
    <t>309.01.20 Service Management</t>
  </si>
  <si>
    <t>330.01.10 Procurement and Sourcing</t>
  </si>
  <si>
    <t>330.01.10  Procurement and Sourcing</t>
  </si>
  <si>
    <t>430.01.10 - Master planning</t>
  </si>
  <si>
    <t>650.01.40 Service Management (Project managment and accounting)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</si>
</sst>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theme="7" tint="0.7999816888943144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2" xfId="0" applyNumberFormat="1" applyBorder="1" applyAlignment="1">
      <alignment horizontal="left"/>
    </xf>
    <xf numFmtId="0" fontId="0" fillId="3" borderId="1" xfId="0" applyFill="1" applyBorder="1"/>
    <xf numFmtId="49" fontId="0" fillId="3" borderId="1" xfId="0" applyNumberFormat="1" applyFill="1" applyBorder="1"/>
    <xf numFmtId="49" fontId="1" fillId="3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9" fontId="0" fillId="0" borderId="5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49" fontId="2" fillId="2" borderId="5" xfId="0" applyNumberFormat="1" applyFont="1" applyFill="1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0" fontId="4" fillId="0" borderId="1" xfId="0" applyFont="1" applyBorder="1"/>
    <xf numFmtId="49" fontId="4" fillId="0" borderId="1" xfId="0" applyNumberFormat="1" applyFont="1" applyBorder="1" applyAlignment="1">
      <alignment horizontal="left"/>
    </xf>
    <xf numFmtId="0" fontId="0" fillId="0" borderId="6" xfId="0" applyBorder="1" applyAlignment="1">
      <alignment horizontal="left"/>
    </xf>
  </cellXfs>
  <cellStyles count="1">
    <cellStyle name="Normal" xfId="0" builtinId="0"/>
  </cellStyles>
  <dxfs count="9">
    <dxf>
      <numFmt numFmtId="0" formatCode="General"/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alignment horizontal="left"/>
    </dxf>
    <dxf>
      <numFmt numFmtId="30" formatCode="@"/>
      <alignment horizontal="left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D45830-1E50-47E6-927D-6C6EE138C25D}" name="Table1" displayName="Table1" ref="A1:G231" totalsRowShown="0" headerRowDxfId="8" dataDxfId="7">
  <autoFilter ref="A1:G231" xr:uid="{74D45830-1E50-47E6-927D-6C6EE138C25D}"/>
  <tableColumns count="7">
    <tableColumn id="1" xr3:uid="{22531EBD-2F20-414A-A319-39FF7EA06A31}" name="Data Package" dataDxfId="6"/>
    <tableColumn id="2" xr3:uid="{93938D68-CF0E-424B-A7A1-E8D00C54E1F6}" name="Entity name" dataDxfId="5"/>
    <tableColumn id="6" xr3:uid="{2D8D2E3D-C84E-4035-92CF-86C5398F6555}" name="Unit" dataDxfId="4"/>
    <tableColumn id="7" xr3:uid="{4772541E-1CB6-40BB-8D04-124164325902}" name="Level" dataDxfId="3"/>
    <tableColumn id="8" xr3:uid="{94EB91E3-7943-48B1-9E45-BD5EB809FDE0}" name="Seq" dataDxfId="2"/>
    <tableColumn id="13" xr3:uid="{CA7E5347-550E-43A7-AFA6-7D9E1464AFE3}" name="Entity Type" dataDxfId="1"/>
    <tableColumn id="14" xr3:uid="{79E81F8D-9D10-429D-8ED8-4766DB2DEF12}" name="TemplateID_Unit_Level_Sequence_Data Entity Name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1"/>
  <sheetViews>
    <sheetView tabSelected="1" zoomScale="90" zoomScaleNormal="90" workbookViewId="0">
      <selection activeCell="B5" sqref="B5"/>
    </sheetView>
  </sheetViews>
  <sheetFormatPr defaultColWidth="9.08984375" defaultRowHeight="14.5" x14ac:dyDescent="0.35"/>
  <cols>
    <col min="1" max="1" width="52.453125" style="1" bestFit="1" customWidth="1"/>
    <col min="2" max="2" width="51.08984375" style="1" bestFit="1" customWidth="1"/>
    <col min="3" max="3" width="9" style="1" customWidth="1"/>
    <col min="4" max="4" width="12.08984375" style="1" customWidth="1"/>
    <col min="5" max="5" width="10.90625" style="1" customWidth="1"/>
    <col min="6" max="6" width="13" style="1" bestFit="1" customWidth="1"/>
    <col min="7" max="7" width="64.90625" style="1" bestFit="1" customWidth="1"/>
    <col min="8" max="16384" width="9.08984375" style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5">
      <c r="A2" s="15" t="s">
        <v>7</v>
      </c>
      <c r="B2" s="15"/>
      <c r="C2" s="15"/>
      <c r="D2" s="15"/>
      <c r="E2" s="15"/>
      <c r="F2" s="15"/>
      <c r="G2" s="16"/>
    </row>
    <row r="3" spans="1:7" x14ac:dyDescent="0.35">
      <c r="A3" s="6" t="s">
        <v>8</v>
      </c>
      <c r="B3" s="6" t="s">
        <v>9</v>
      </c>
      <c r="C3" s="6" t="s">
        <v>10</v>
      </c>
      <c r="D3" s="6">
        <v>10</v>
      </c>
      <c r="E3" s="6">
        <v>10</v>
      </c>
      <c r="F3" s="6" t="s">
        <v>11</v>
      </c>
      <c r="G3" s="7" t="s">
        <v>12</v>
      </c>
    </row>
    <row r="4" spans="1:7" x14ac:dyDescent="0.35">
      <c r="A4" s="6" t="s">
        <v>13</v>
      </c>
      <c r="B4" s="6" t="s">
        <v>14</v>
      </c>
      <c r="C4" s="6" t="s">
        <v>10</v>
      </c>
      <c r="D4" s="6">
        <v>10</v>
      </c>
      <c r="E4" s="6">
        <v>15</v>
      </c>
      <c r="F4" s="6" t="s">
        <v>11</v>
      </c>
      <c r="G4" s="7" t="s">
        <v>15</v>
      </c>
    </row>
    <row r="5" spans="1:7" x14ac:dyDescent="0.35">
      <c r="A5" s="6" t="s">
        <v>16</v>
      </c>
      <c r="B5" s="6" t="s">
        <v>17</v>
      </c>
      <c r="C5" s="6" t="s">
        <v>10</v>
      </c>
      <c r="D5" s="6">
        <v>10</v>
      </c>
      <c r="E5" s="6">
        <v>15</v>
      </c>
      <c r="F5" s="6" t="s">
        <v>11</v>
      </c>
      <c r="G5" s="7" t="s">
        <v>18</v>
      </c>
    </row>
    <row r="6" spans="1:7" x14ac:dyDescent="0.35">
      <c r="A6" s="6" t="s">
        <v>19</v>
      </c>
      <c r="B6" s="6" t="s">
        <v>20</v>
      </c>
      <c r="C6" s="6" t="s">
        <v>10</v>
      </c>
      <c r="D6" s="6">
        <v>10</v>
      </c>
      <c r="E6" s="6">
        <v>20</v>
      </c>
      <c r="F6" s="6" t="s">
        <v>11</v>
      </c>
      <c r="G6" s="7" t="s">
        <v>21</v>
      </c>
    </row>
    <row r="7" spans="1:7" x14ac:dyDescent="0.35">
      <c r="A7" s="6" t="s">
        <v>19</v>
      </c>
      <c r="B7" s="6" t="s">
        <v>22</v>
      </c>
      <c r="C7" s="6" t="s">
        <v>10</v>
      </c>
      <c r="D7" s="6">
        <v>10</v>
      </c>
      <c r="E7" s="6">
        <v>25</v>
      </c>
      <c r="F7" s="6" t="s">
        <v>11</v>
      </c>
      <c r="G7" s="7" t="s">
        <v>23</v>
      </c>
    </row>
    <row r="8" spans="1:7" x14ac:dyDescent="0.35">
      <c r="A8" s="6" t="s">
        <v>19</v>
      </c>
      <c r="B8" s="6" t="s">
        <v>24</v>
      </c>
      <c r="C8" s="6" t="s">
        <v>10</v>
      </c>
      <c r="D8" s="6">
        <v>10</v>
      </c>
      <c r="E8" s="6">
        <v>30</v>
      </c>
      <c r="F8" s="6" t="s">
        <v>11</v>
      </c>
      <c r="G8" s="7" t="s">
        <v>25</v>
      </c>
    </row>
    <row r="9" spans="1:7" x14ac:dyDescent="0.35">
      <c r="A9" s="6" t="s">
        <v>26</v>
      </c>
      <c r="B9" s="6" t="s">
        <v>27</v>
      </c>
      <c r="C9" s="6" t="s">
        <v>10</v>
      </c>
      <c r="D9" s="6">
        <v>10</v>
      </c>
      <c r="E9" s="6">
        <v>80</v>
      </c>
      <c r="F9" s="6" t="s">
        <v>11</v>
      </c>
      <c r="G9" s="7" t="s">
        <v>28</v>
      </c>
    </row>
    <row r="10" spans="1:7" x14ac:dyDescent="0.35">
      <c r="A10" s="6" t="s">
        <v>29</v>
      </c>
      <c r="B10" s="6" t="s">
        <v>30</v>
      </c>
      <c r="C10" s="6" t="s">
        <v>10</v>
      </c>
      <c r="D10" s="6" t="s">
        <v>31</v>
      </c>
      <c r="E10" s="6">
        <v>60</v>
      </c>
      <c r="F10" s="6" t="s">
        <v>11</v>
      </c>
      <c r="G10" s="7" t="s">
        <v>32</v>
      </c>
    </row>
    <row r="11" spans="1:7" x14ac:dyDescent="0.35">
      <c r="A11" s="6" t="s">
        <v>33</v>
      </c>
      <c r="B11" s="6" t="s">
        <v>34</v>
      </c>
      <c r="C11" s="6" t="s">
        <v>10</v>
      </c>
      <c r="D11" s="6" t="s">
        <v>35</v>
      </c>
      <c r="E11" s="6" t="s">
        <v>36</v>
      </c>
      <c r="F11" s="6" t="s">
        <v>37</v>
      </c>
      <c r="G11" s="7" t="s">
        <v>38</v>
      </c>
    </row>
    <row r="12" spans="1:7" x14ac:dyDescent="0.35">
      <c r="A12" s="6" t="s">
        <v>33</v>
      </c>
      <c r="B12" s="6" t="s">
        <v>39</v>
      </c>
      <c r="C12" s="6" t="s">
        <v>10</v>
      </c>
      <c r="D12" s="6" t="s">
        <v>40</v>
      </c>
      <c r="E12" s="6" t="s">
        <v>35</v>
      </c>
      <c r="F12" s="6" t="s">
        <v>37</v>
      </c>
      <c r="G12" s="7" t="s">
        <v>41</v>
      </c>
    </row>
    <row r="13" spans="1:7" x14ac:dyDescent="0.35">
      <c r="A13" s="6" t="s">
        <v>42</v>
      </c>
      <c r="B13" s="6" t="s">
        <v>43</v>
      </c>
      <c r="C13" s="6" t="s">
        <v>10</v>
      </c>
      <c r="D13" s="6" t="s">
        <v>40</v>
      </c>
      <c r="E13" s="6">
        <v>10</v>
      </c>
      <c r="F13" s="6" t="s">
        <v>44</v>
      </c>
      <c r="G13" s="7" t="s">
        <v>45</v>
      </c>
    </row>
    <row r="14" spans="1:7" x14ac:dyDescent="0.35">
      <c r="A14" s="6" t="s">
        <v>7</v>
      </c>
      <c r="B14" s="6" t="s">
        <v>46</v>
      </c>
      <c r="C14" s="6" t="s">
        <v>10</v>
      </c>
      <c r="D14" s="6" t="s">
        <v>40</v>
      </c>
      <c r="E14" s="6" t="s">
        <v>35</v>
      </c>
      <c r="F14" s="6" t="s">
        <v>11</v>
      </c>
      <c r="G14" s="7" t="s">
        <v>47</v>
      </c>
    </row>
    <row r="15" spans="1:7" x14ac:dyDescent="0.35">
      <c r="A15" s="6" t="s">
        <v>7</v>
      </c>
      <c r="B15" s="6" t="s">
        <v>48</v>
      </c>
      <c r="C15" s="6" t="s">
        <v>10</v>
      </c>
      <c r="D15" s="6" t="s">
        <v>40</v>
      </c>
      <c r="E15" s="6" t="s">
        <v>40</v>
      </c>
      <c r="F15" s="6" t="s">
        <v>11</v>
      </c>
      <c r="G15" s="7" t="str">
        <f>_xlfn.CONCAT("010_01_20_20_", B15)</f>
        <v>010_01_20_20_Operations Resource</v>
      </c>
    </row>
    <row r="16" spans="1:7" x14ac:dyDescent="0.35">
      <c r="A16" s="6" t="s">
        <v>7</v>
      </c>
      <c r="B16" s="6" t="s">
        <v>49</v>
      </c>
      <c r="C16" s="6" t="s">
        <v>10</v>
      </c>
      <c r="D16" s="6" t="s">
        <v>40</v>
      </c>
      <c r="E16" s="6" t="s">
        <v>50</v>
      </c>
      <c r="F16" s="6" t="s">
        <v>11</v>
      </c>
      <c r="G16" s="7" t="str">
        <f>_xlfn.CONCAT("010_01_20_30_", B16)</f>
        <v>010_01_20_30_Time transaction</v>
      </c>
    </row>
    <row r="17" spans="1:7" x14ac:dyDescent="0.35">
      <c r="A17" s="6" t="s">
        <v>7</v>
      </c>
      <c r="B17" s="6" t="s">
        <v>51</v>
      </c>
      <c r="C17" s="6" t="s">
        <v>10</v>
      </c>
      <c r="D17" s="6" t="s">
        <v>31</v>
      </c>
      <c r="E17" s="6">
        <v>61</v>
      </c>
      <c r="F17" s="6" t="s">
        <v>11</v>
      </c>
      <c r="G17" s="7" t="str">
        <f>_xlfn.CONCAT("010_01_20_40_", B17)</f>
        <v>010_01_20_40_Number Sequence Reference</v>
      </c>
    </row>
    <row r="18" spans="1:7" x14ac:dyDescent="0.35">
      <c r="A18" s="6" t="s">
        <v>7</v>
      </c>
      <c r="B18" s="6" t="s">
        <v>52</v>
      </c>
      <c r="C18" s="6" t="s">
        <v>10</v>
      </c>
      <c r="D18" s="6" t="s">
        <v>35</v>
      </c>
      <c r="E18" s="6" t="s">
        <v>50</v>
      </c>
      <c r="F18" s="8" t="s">
        <v>44</v>
      </c>
      <c r="G18" s="7" t="str">
        <f t="shared" ref="G18:G27" si="0">_xlfn.CONCAT("010","_",C18,"_",D18,"_",E18,"_",B18)</f>
        <v>010_01_10_30_Global address Book</v>
      </c>
    </row>
    <row r="19" spans="1:7" x14ac:dyDescent="0.35">
      <c r="A19" s="6" t="s">
        <v>7</v>
      </c>
      <c r="B19" s="6" t="s">
        <v>53</v>
      </c>
      <c r="C19" s="6" t="s">
        <v>10</v>
      </c>
      <c r="D19" s="6" t="s">
        <v>40</v>
      </c>
      <c r="E19" s="6" t="s">
        <v>54</v>
      </c>
      <c r="F19" s="8" t="s">
        <v>44</v>
      </c>
      <c r="G19" s="7" t="str">
        <f t="shared" si="0"/>
        <v>010_01_20_70_States</v>
      </c>
    </row>
    <row r="20" spans="1:7" x14ac:dyDescent="0.35">
      <c r="A20" s="6" t="s">
        <v>7</v>
      </c>
      <c r="B20" s="6" t="s">
        <v>55</v>
      </c>
      <c r="C20" s="6" t="s">
        <v>10</v>
      </c>
      <c r="D20" s="6" t="s">
        <v>40</v>
      </c>
      <c r="E20" s="6">
        <v>11</v>
      </c>
      <c r="F20" s="8" t="s">
        <v>44</v>
      </c>
      <c r="G20" s="7" t="str">
        <f t="shared" si="0"/>
        <v>010_01_20_11_Cities</v>
      </c>
    </row>
    <row r="21" spans="1:7" x14ac:dyDescent="0.35">
      <c r="A21" s="6" t="s">
        <v>7</v>
      </c>
      <c r="B21" s="6" t="s">
        <v>56</v>
      </c>
      <c r="C21" s="6" t="s">
        <v>10</v>
      </c>
      <c r="D21" s="6" t="s">
        <v>40</v>
      </c>
      <c r="E21" s="6" t="s">
        <v>57</v>
      </c>
      <c r="F21" s="8" t="s">
        <v>44</v>
      </c>
      <c r="G21" s="7" t="str">
        <f t="shared" si="0"/>
        <v>010_01_20_40_Zipcode</v>
      </c>
    </row>
    <row r="22" spans="1:7" x14ac:dyDescent="0.35">
      <c r="A22" s="6" t="s">
        <v>7</v>
      </c>
      <c r="B22" s="6" t="s">
        <v>58</v>
      </c>
      <c r="C22" s="6" t="s">
        <v>10</v>
      </c>
      <c r="D22" s="6" t="s">
        <v>40</v>
      </c>
      <c r="E22" s="6" t="s">
        <v>36</v>
      </c>
      <c r="F22" s="8" t="s">
        <v>44</v>
      </c>
      <c r="G22" s="7" t="str">
        <f t="shared" si="0"/>
        <v>010_01_20_50_Employee V2</v>
      </c>
    </row>
    <row r="23" spans="1:7" x14ac:dyDescent="0.35">
      <c r="A23" s="6" t="s">
        <v>7</v>
      </c>
      <c r="B23" s="6" t="s">
        <v>59</v>
      </c>
      <c r="C23" s="6" t="s">
        <v>10</v>
      </c>
      <c r="D23" s="6" t="s">
        <v>40</v>
      </c>
      <c r="E23" s="6" t="s">
        <v>60</v>
      </c>
      <c r="F23" s="8" t="s">
        <v>44</v>
      </c>
      <c r="G23" s="7" t="str">
        <f t="shared" si="0"/>
        <v>010_01_20_60_Fixed Assets V2</v>
      </c>
    </row>
    <row r="24" spans="1:7" x14ac:dyDescent="0.35">
      <c r="A24" s="6" t="s">
        <v>7</v>
      </c>
      <c r="B24" s="6" t="s">
        <v>61</v>
      </c>
      <c r="C24" s="6" t="s">
        <v>10</v>
      </c>
      <c r="D24" s="6" t="s">
        <v>31</v>
      </c>
      <c r="E24" s="6">
        <v>62</v>
      </c>
      <c r="F24" s="8" t="s">
        <v>44</v>
      </c>
      <c r="G24" s="7" t="str">
        <f t="shared" si="0"/>
        <v>010_01_300_62_Fixed asset book V2</v>
      </c>
    </row>
    <row r="25" spans="1:7" x14ac:dyDescent="0.35">
      <c r="A25" s="6" t="s">
        <v>7</v>
      </c>
      <c r="B25" s="6" t="s">
        <v>62</v>
      </c>
      <c r="C25" s="6" t="s">
        <v>10</v>
      </c>
      <c r="D25" s="6" t="s">
        <v>35</v>
      </c>
      <c r="E25" s="6" t="s">
        <v>63</v>
      </c>
      <c r="F25" s="8" t="s">
        <v>44</v>
      </c>
      <c r="G25" s="7" t="str">
        <f t="shared" si="0"/>
        <v>010_01_10_110_Customer V3</v>
      </c>
    </row>
    <row r="26" spans="1:7" x14ac:dyDescent="0.35">
      <c r="A26" s="6" t="s">
        <v>7</v>
      </c>
      <c r="B26" s="6" t="s">
        <v>64</v>
      </c>
      <c r="C26" s="6" t="s">
        <v>10</v>
      </c>
      <c r="D26" s="6" t="s">
        <v>40</v>
      </c>
      <c r="E26" s="6" t="s">
        <v>65</v>
      </c>
      <c r="F26" s="8" t="s">
        <v>44</v>
      </c>
      <c r="G26" s="7" t="str">
        <f t="shared" si="0"/>
        <v>010_01_20_150_Vendor V2</v>
      </c>
    </row>
    <row r="27" spans="1:7" x14ac:dyDescent="0.35">
      <c r="A27" s="6" t="s">
        <v>7</v>
      </c>
      <c r="B27" s="6" t="s">
        <v>66</v>
      </c>
      <c r="C27" s="6" t="s">
        <v>10</v>
      </c>
      <c r="D27" s="6" t="s">
        <v>40</v>
      </c>
      <c r="E27" s="6">
        <v>12</v>
      </c>
      <c r="F27" s="8" t="s">
        <v>44</v>
      </c>
      <c r="G27" s="7" t="str">
        <f t="shared" si="0"/>
        <v>010_01_20_12_Postal Address</v>
      </c>
    </row>
    <row r="28" spans="1:7" x14ac:dyDescent="0.35">
      <c r="A28" s="15" t="s">
        <v>67</v>
      </c>
      <c r="B28" s="15"/>
      <c r="C28" s="15"/>
      <c r="D28" s="15"/>
      <c r="E28" s="15"/>
      <c r="F28" s="15"/>
      <c r="G28" s="16"/>
    </row>
    <row r="29" spans="1:7" x14ac:dyDescent="0.35">
      <c r="A29" s="6" t="s">
        <v>67</v>
      </c>
      <c r="B29" s="6" t="s">
        <v>68</v>
      </c>
      <c r="C29" s="6" t="s">
        <v>10</v>
      </c>
      <c r="D29" s="6" t="s">
        <v>40</v>
      </c>
      <c r="E29" s="6">
        <v>10</v>
      </c>
      <c r="F29" s="6" t="s">
        <v>11</v>
      </c>
      <c r="G29" s="7" t="s">
        <v>69</v>
      </c>
    </row>
    <row r="30" spans="1:7" x14ac:dyDescent="0.35">
      <c r="A30" s="6" t="s">
        <v>67</v>
      </c>
      <c r="B30" s="6" t="s">
        <v>70</v>
      </c>
      <c r="C30" s="6" t="s">
        <v>10</v>
      </c>
      <c r="D30" s="6" t="s">
        <v>40</v>
      </c>
      <c r="E30" s="6">
        <v>10</v>
      </c>
      <c r="F30" s="6" t="s">
        <v>11</v>
      </c>
      <c r="G30" s="7" t="s">
        <v>71</v>
      </c>
    </row>
    <row r="31" spans="1:7" x14ac:dyDescent="0.35">
      <c r="A31" s="6" t="s">
        <v>67</v>
      </c>
      <c r="B31" s="6" t="s">
        <v>72</v>
      </c>
      <c r="C31" s="6" t="s">
        <v>10</v>
      </c>
      <c r="D31" s="6" t="s">
        <v>40</v>
      </c>
      <c r="E31" s="6">
        <v>10</v>
      </c>
      <c r="F31" s="6" t="s">
        <v>11</v>
      </c>
      <c r="G31" s="7" t="s">
        <v>73</v>
      </c>
    </row>
    <row r="32" spans="1:7" x14ac:dyDescent="0.35">
      <c r="A32" s="6" t="s">
        <v>67</v>
      </c>
      <c r="B32" s="6" t="s">
        <v>74</v>
      </c>
      <c r="C32" s="6" t="s">
        <v>10</v>
      </c>
      <c r="D32" s="6" t="s">
        <v>40</v>
      </c>
      <c r="E32" s="6">
        <v>20</v>
      </c>
      <c r="F32" s="6" t="s">
        <v>11</v>
      </c>
      <c r="G32" s="7" t="s">
        <v>75</v>
      </c>
    </row>
    <row r="33" spans="1:7" x14ac:dyDescent="0.35">
      <c r="A33" s="6" t="s">
        <v>76</v>
      </c>
      <c r="B33" s="6" t="s">
        <v>77</v>
      </c>
      <c r="C33" s="6" t="s">
        <v>10</v>
      </c>
      <c r="D33" s="6" t="s">
        <v>40</v>
      </c>
      <c r="E33" s="6">
        <v>20</v>
      </c>
      <c r="F33" s="6" t="s">
        <v>11</v>
      </c>
      <c r="G33" s="7" t="s">
        <v>78</v>
      </c>
    </row>
    <row r="34" spans="1:7" x14ac:dyDescent="0.35">
      <c r="A34" s="6" t="s">
        <v>67</v>
      </c>
      <c r="B34" s="6" t="s">
        <v>79</v>
      </c>
      <c r="C34" s="6" t="s">
        <v>10</v>
      </c>
      <c r="D34" s="6" t="s">
        <v>40</v>
      </c>
      <c r="E34" s="6">
        <v>30</v>
      </c>
      <c r="F34" s="6" t="s">
        <v>11</v>
      </c>
      <c r="G34" s="7" t="s">
        <v>80</v>
      </c>
    </row>
    <row r="35" spans="1:7" x14ac:dyDescent="0.35">
      <c r="A35" s="6" t="s">
        <v>67</v>
      </c>
      <c r="B35" s="6" t="s">
        <v>81</v>
      </c>
      <c r="C35" s="6" t="s">
        <v>10</v>
      </c>
      <c r="D35" s="6" t="s">
        <v>40</v>
      </c>
      <c r="E35" s="6">
        <v>35</v>
      </c>
      <c r="F35" s="6" t="s">
        <v>11</v>
      </c>
      <c r="G35" s="7" t="str">
        <f t="shared" ref="G35:G40" si="1">_xlfn.CONCAT(20, "_",C35,"_",D35,"_",E35,"_",B34)</f>
        <v>20_01_20_35_Financial dimension values</v>
      </c>
    </row>
    <row r="36" spans="1:7" x14ac:dyDescent="0.35">
      <c r="A36" s="6" t="s">
        <v>76</v>
      </c>
      <c r="B36" s="6" t="s">
        <v>82</v>
      </c>
      <c r="C36" s="6" t="s">
        <v>10</v>
      </c>
      <c r="D36" s="6" t="s">
        <v>40</v>
      </c>
      <c r="E36" s="6">
        <v>41</v>
      </c>
      <c r="F36" s="6" t="s">
        <v>11</v>
      </c>
      <c r="G36" s="7" t="str">
        <f t="shared" si="1"/>
        <v>20_01_20_41_Reason code</v>
      </c>
    </row>
    <row r="37" spans="1:7" x14ac:dyDescent="0.35">
      <c r="A37" s="6" t="s">
        <v>67</v>
      </c>
      <c r="B37" s="6" t="s">
        <v>83</v>
      </c>
      <c r="C37" s="6" t="s">
        <v>10</v>
      </c>
      <c r="D37" s="6" t="s">
        <v>40</v>
      </c>
      <c r="E37" s="6">
        <v>47</v>
      </c>
      <c r="F37" s="6" t="s">
        <v>11</v>
      </c>
      <c r="G37" s="7" t="str">
        <f t="shared" si="1"/>
        <v>20_01_20_47_Configuration groups</v>
      </c>
    </row>
    <row r="38" spans="1:7" x14ac:dyDescent="0.35">
      <c r="A38" s="6" t="s">
        <v>67</v>
      </c>
      <c r="B38" s="6" t="s">
        <v>84</v>
      </c>
      <c r="C38" s="6" t="s">
        <v>10</v>
      </c>
      <c r="D38" s="6" t="s">
        <v>40</v>
      </c>
      <c r="E38" s="6">
        <v>53</v>
      </c>
      <c r="F38" s="6" t="s">
        <v>11</v>
      </c>
      <c r="G38" s="7" t="str">
        <f t="shared" si="1"/>
        <v>20_01_20_53_Aging period definations</v>
      </c>
    </row>
    <row r="39" spans="1:7" x14ac:dyDescent="0.35">
      <c r="A39" s="6" t="s">
        <v>76</v>
      </c>
      <c r="B39" s="6" t="s">
        <v>85</v>
      </c>
      <c r="C39" s="6" t="s">
        <v>10</v>
      </c>
      <c r="D39" s="6" t="s">
        <v>40</v>
      </c>
      <c r="E39" s="6">
        <v>59</v>
      </c>
      <c r="F39" s="6" t="s">
        <v>11</v>
      </c>
      <c r="G39" s="7" t="str">
        <f t="shared" si="1"/>
        <v>20_01_20_59_Journal Description</v>
      </c>
    </row>
    <row r="40" spans="1:7" x14ac:dyDescent="0.35">
      <c r="A40" s="6" t="s">
        <v>67</v>
      </c>
      <c r="B40" s="6" t="s">
        <v>86</v>
      </c>
      <c r="C40" s="6" t="s">
        <v>10</v>
      </c>
      <c r="D40" s="6" t="s">
        <v>40</v>
      </c>
      <c r="E40" s="6">
        <v>65</v>
      </c>
      <c r="F40" s="6" t="s">
        <v>11</v>
      </c>
      <c r="G40" s="7" t="str">
        <f t="shared" si="1"/>
        <v>20_01_20_65_Fiscal Close group</v>
      </c>
    </row>
    <row r="41" spans="1:7" x14ac:dyDescent="0.35">
      <c r="A41" s="15" t="s">
        <v>87</v>
      </c>
      <c r="B41" s="15"/>
      <c r="C41" s="15"/>
      <c r="D41" s="15"/>
      <c r="E41" s="15"/>
      <c r="F41" s="15"/>
      <c r="G41" s="16"/>
    </row>
    <row r="42" spans="1:7" x14ac:dyDescent="0.35">
      <c r="A42" s="6" t="s">
        <v>88</v>
      </c>
      <c r="B42" s="6" t="s">
        <v>89</v>
      </c>
      <c r="C42" s="6" t="s">
        <v>10</v>
      </c>
      <c r="D42" s="6" t="s">
        <v>40</v>
      </c>
      <c r="E42" s="6">
        <v>35</v>
      </c>
      <c r="F42" s="6" t="s">
        <v>11</v>
      </c>
      <c r="G42" s="7" t="s">
        <v>90</v>
      </c>
    </row>
    <row r="43" spans="1:7" x14ac:dyDescent="0.35">
      <c r="A43" s="6" t="s">
        <v>91</v>
      </c>
      <c r="B43" s="6" t="s">
        <v>92</v>
      </c>
      <c r="C43" s="6" t="s">
        <v>10</v>
      </c>
      <c r="D43" s="6" t="s">
        <v>93</v>
      </c>
      <c r="E43" s="6">
        <v>20</v>
      </c>
      <c r="F43" s="6" t="s">
        <v>11</v>
      </c>
      <c r="G43" s="7" t="s">
        <v>94</v>
      </c>
    </row>
    <row r="44" spans="1:7" x14ac:dyDescent="0.35">
      <c r="A44" s="6" t="s">
        <v>95</v>
      </c>
      <c r="B44" s="6" t="s">
        <v>96</v>
      </c>
      <c r="C44" s="6" t="s">
        <v>10</v>
      </c>
      <c r="D44" s="6" t="s">
        <v>93</v>
      </c>
      <c r="E44" s="6">
        <v>15</v>
      </c>
      <c r="F44" s="6" t="s">
        <v>11</v>
      </c>
      <c r="G44" s="7" t="s">
        <v>97</v>
      </c>
    </row>
    <row r="45" spans="1:7" x14ac:dyDescent="0.35">
      <c r="A45" s="6" t="s">
        <v>95</v>
      </c>
      <c r="B45" s="6" t="s">
        <v>98</v>
      </c>
      <c r="C45" s="6" t="s">
        <v>10</v>
      </c>
      <c r="D45" s="6" t="s">
        <v>93</v>
      </c>
      <c r="E45" s="6">
        <v>20</v>
      </c>
      <c r="F45" s="6" t="s">
        <v>11</v>
      </c>
      <c r="G45" s="7" t="s">
        <v>99</v>
      </c>
    </row>
    <row r="46" spans="1:7" x14ac:dyDescent="0.35">
      <c r="A46" s="6" t="s">
        <v>95</v>
      </c>
      <c r="B46" s="6" t="s">
        <v>100</v>
      </c>
      <c r="C46" s="6" t="s">
        <v>10</v>
      </c>
      <c r="D46" s="6" t="s">
        <v>93</v>
      </c>
      <c r="E46" s="6">
        <v>25</v>
      </c>
      <c r="F46" s="6" t="s">
        <v>11</v>
      </c>
      <c r="G46" s="7" t="s">
        <v>101</v>
      </c>
    </row>
    <row r="47" spans="1:7" x14ac:dyDescent="0.35">
      <c r="A47" s="6" t="s">
        <v>95</v>
      </c>
      <c r="B47" s="6" t="s">
        <v>102</v>
      </c>
      <c r="C47" s="6" t="s">
        <v>10</v>
      </c>
      <c r="D47" s="6" t="s">
        <v>93</v>
      </c>
      <c r="E47" s="6">
        <v>36</v>
      </c>
      <c r="F47" s="6" t="s">
        <v>11</v>
      </c>
      <c r="G47" s="7" t="s">
        <v>103</v>
      </c>
    </row>
    <row r="48" spans="1:7" x14ac:dyDescent="0.35">
      <c r="A48" s="6" t="s">
        <v>87</v>
      </c>
      <c r="B48" s="6" t="s">
        <v>104</v>
      </c>
      <c r="C48" s="6" t="s">
        <v>10</v>
      </c>
      <c r="D48" s="6" t="s">
        <v>93</v>
      </c>
      <c r="E48" s="6" t="s">
        <v>40</v>
      </c>
      <c r="F48" s="6" t="s">
        <v>11</v>
      </c>
      <c r="G48" s="7" t="s">
        <v>105</v>
      </c>
    </row>
    <row r="49" spans="1:7" x14ac:dyDescent="0.35">
      <c r="A49" s="15" t="s">
        <v>419</v>
      </c>
      <c r="B49" s="15"/>
      <c r="C49" s="15"/>
      <c r="D49" s="15"/>
      <c r="E49" s="15"/>
      <c r="F49" s="15"/>
      <c r="G49" s="16"/>
    </row>
    <row r="50" spans="1:7" x14ac:dyDescent="0.35">
      <c r="A50" s="6" t="s">
        <v>106</v>
      </c>
      <c r="B50" s="6" t="s">
        <v>107</v>
      </c>
      <c r="C50" s="6" t="s">
        <v>10</v>
      </c>
      <c r="D50" s="6" t="s">
        <v>57</v>
      </c>
      <c r="E50" s="6">
        <v>30</v>
      </c>
      <c r="F50" s="6" t="s">
        <v>11</v>
      </c>
      <c r="G50" s="7" t="s">
        <v>108</v>
      </c>
    </row>
    <row r="51" spans="1:7" x14ac:dyDescent="0.35">
      <c r="A51" s="6" t="s">
        <v>109</v>
      </c>
      <c r="B51" s="6" t="s">
        <v>110</v>
      </c>
      <c r="C51" s="6" t="s">
        <v>10</v>
      </c>
      <c r="D51" s="6" t="s">
        <v>50</v>
      </c>
      <c r="E51" s="6">
        <v>10</v>
      </c>
      <c r="F51" s="6" t="s">
        <v>11</v>
      </c>
      <c r="G51" s="7" t="s">
        <v>111</v>
      </c>
    </row>
    <row r="52" spans="1:7" x14ac:dyDescent="0.35">
      <c r="A52" s="6" t="s">
        <v>109</v>
      </c>
      <c r="B52" s="6" t="s">
        <v>112</v>
      </c>
      <c r="C52" s="6" t="s">
        <v>10</v>
      </c>
      <c r="D52" s="6" t="s">
        <v>113</v>
      </c>
      <c r="E52" s="6" t="s">
        <v>35</v>
      </c>
      <c r="F52" s="6" t="s">
        <v>11</v>
      </c>
      <c r="G52" s="7" t="s">
        <v>114</v>
      </c>
    </row>
    <row r="53" spans="1:7" x14ac:dyDescent="0.35">
      <c r="A53" s="17" t="s">
        <v>109</v>
      </c>
      <c r="B53" s="6" t="s">
        <v>417</v>
      </c>
      <c r="C53" s="6" t="s">
        <v>10</v>
      </c>
      <c r="D53" s="6" t="s">
        <v>113</v>
      </c>
      <c r="E53" s="6" t="s">
        <v>35</v>
      </c>
      <c r="F53" s="6" t="s">
        <v>11</v>
      </c>
      <c r="G53" s="7" t="str">
        <f>_xlfn.CONCAT(20, "_",C53,"_",D53,"_",E53,"_",B53)</f>
        <v>20_01_100_10_Bank Transaction Types</v>
      </c>
    </row>
    <row r="54" spans="1:7" x14ac:dyDescent="0.35">
      <c r="A54" s="15" t="s">
        <v>115</v>
      </c>
      <c r="B54" s="15"/>
      <c r="C54" s="15"/>
      <c r="D54" s="15"/>
      <c r="E54" s="15"/>
      <c r="F54" s="15"/>
      <c r="G54" s="16"/>
    </row>
    <row r="55" spans="1:7" x14ac:dyDescent="0.35">
      <c r="A55" s="6" t="s">
        <v>116</v>
      </c>
      <c r="B55" s="6" t="s">
        <v>117</v>
      </c>
      <c r="C55" s="6" t="s">
        <v>10</v>
      </c>
      <c r="D55" s="6" t="s">
        <v>50</v>
      </c>
      <c r="E55" s="6">
        <v>10</v>
      </c>
      <c r="F55" s="6" t="s">
        <v>11</v>
      </c>
      <c r="G55" s="7" t="s">
        <v>118</v>
      </c>
    </row>
    <row r="56" spans="1:7" x14ac:dyDescent="0.35">
      <c r="A56" s="6" t="s">
        <v>116</v>
      </c>
      <c r="B56" s="6" t="s">
        <v>119</v>
      </c>
      <c r="C56" s="6" t="s">
        <v>10</v>
      </c>
      <c r="D56" s="6" t="s">
        <v>57</v>
      </c>
      <c r="E56" s="6">
        <v>15</v>
      </c>
      <c r="F56" s="6" t="s">
        <v>11</v>
      </c>
      <c r="G56" s="7" t="s">
        <v>120</v>
      </c>
    </row>
    <row r="57" spans="1:7" x14ac:dyDescent="0.35">
      <c r="A57" s="6" t="s">
        <v>121</v>
      </c>
      <c r="B57" s="6" t="s">
        <v>122</v>
      </c>
      <c r="C57" s="6" t="s">
        <v>10</v>
      </c>
      <c r="D57" s="6" t="s">
        <v>123</v>
      </c>
      <c r="E57" s="6" t="s">
        <v>35</v>
      </c>
      <c r="F57" s="6" t="s">
        <v>11</v>
      </c>
      <c r="G57" s="7" t="s">
        <v>124</v>
      </c>
    </row>
    <row r="58" spans="1:7" x14ac:dyDescent="0.35">
      <c r="A58" s="6" t="s">
        <v>125</v>
      </c>
      <c r="B58" s="6" t="s">
        <v>126</v>
      </c>
      <c r="C58" s="6" t="s">
        <v>10</v>
      </c>
      <c r="D58" s="6" t="s">
        <v>57</v>
      </c>
      <c r="E58" s="6">
        <v>25</v>
      </c>
      <c r="F58" s="6" t="s">
        <v>11</v>
      </c>
      <c r="G58" s="7" t="s">
        <v>127</v>
      </c>
    </row>
    <row r="59" spans="1:7" x14ac:dyDescent="0.35">
      <c r="A59" s="6" t="s">
        <v>128</v>
      </c>
      <c r="B59" s="6" t="s">
        <v>129</v>
      </c>
      <c r="C59" s="6" t="s">
        <v>10</v>
      </c>
      <c r="D59" s="6" t="s">
        <v>123</v>
      </c>
      <c r="E59" s="6">
        <v>45</v>
      </c>
      <c r="F59" s="6" t="s">
        <v>11</v>
      </c>
      <c r="G59" s="7" t="s">
        <v>130</v>
      </c>
    </row>
    <row r="60" spans="1:7" x14ac:dyDescent="0.35">
      <c r="A60" s="6" t="s">
        <v>128</v>
      </c>
      <c r="B60" s="6" t="s">
        <v>131</v>
      </c>
      <c r="C60" s="6" t="s">
        <v>10</v>
      </c>
      <c r="D60" s="6" t="s">
        <v>123</v>
      </c>
      <c r="E60" s="6">
        <v>50</v>
      </c>
      <c r="F60" s="6" t="s">
        <v>11</v>
      </c>
      <c r="G60" s="7" t="s">
        <v>132</v>
      </c>
    </row>
    <row r="61" spans="1:7" x14ac:dyDescent="0.35">
      <c r="A61" s="6" t="s">
        <v>128</v>
      </c>
      <c r="B61" s="6" t="s">
        <v>133</v>
      </c>
      <c r="C61" s="6" t="s">
        <v>10</v>
      </c>
      <c r="D61" s="6" t="s">
        <v>123</v>
      </c>
      <c r="E61" s="6">
        <v>60</v>
      </c>
      <c r="F61" s="6" t="s">
        <v>11</v>
      </c>
      <c r="G61" s="7" t="s">
        <v>134</v>
      </c>
    </row>
    <row r="62" spans="1:7" x14ac:dyDescent="0.35">
      <c r="A62" s="15" t="s">
        <v>135</v>
      </c>
      <c r="B62" s="15"/>
      <c r="C62" s="15"/>
      <c r="D62" s="15"/>
      <c r="E62" s="15"/>
      <c r="F62" s="15"/>
      <c r="G62" s="16"/>
    </row>
    <row r="63" spans="1:7" x14ac:dyDescent="0.35">
      <c r="A63" s="6" t="s">
        <v>136</v>
      </c>
      <c r="B63" s="6" t="s">
        <v>137</v>
      </c>
      <c r="C63" s="6" t="s">
        <v>10</v>
      </c>
      <c r="D63" s="6" t="s">
        <v>50</v>
      </c>
      <c r="E63" s="6">
        <v>10</v>
      </c>
      <c r="F63" s="6" t="s">
        <v>11</v>
      </c>
      <c r="G63" s="7" t="s">
        <v>138</v>
      </c>
    </row>
    <row r="64" spans="1:7" x14ac:dyDescent="0.35">
      <c r="A64" s="6" t="s">
        <v>136</v>
      </c>
      <c r="B64" s="6" t="s">
        <v>139</v>
      </c>
      <c r="C64" s="6" t="s">
        <v>10</v>
      </c>
      <c r="D64" s="6" t="s">
        <v>50</v>
      </c>
      <c r="E64" s="6">
        <v>10</v>
      </c>
      <c r="F64" s="6" t="s">
        <v>11</v>
      </c>
      <c r="G64" s="7" t="s">
        <v>140</v>
      </c>
    </row>
    <row r="65" spans="1:7" x14ac:dyDescent="0.35">
      <c r="A65" s="6" t="s">
        <v>136</v>
      </c>
      <c r="B65" s="6" t="s">
        <v>141</v>
      </c>
      <c r="C65" s="6" t="s">
        <v>10</v>
      </c>
      <c r="D65" s="6" t="s">
        <v>50</v>
      </c>
      <c r="E65" s="6">
        <v>10</v>
      </c>
      <c r="F65" s="6" t="s">
        <v>11</v>
      </c>
      <c r="G65" s="7" t="s">
        <v>142</v>
      </c>
    </row>
    <row r="66" spans="1:7" x14ac:dyDescent="0.35">
      <c r="A66" s="6" t="s">
        <v>136</v>
      </c>
      <c r="B66" s="6" t="s">
        <v>143</v>
      </c>
      <c r="C66" s="6" t="s">
        <v>10</v>
      </c>
      <c r="D66" s="6" t="s">
        <v>50</v>
      </c>
      <c r="E66" s="6">
        <v>10</v>
      </c>
      <c r="F66" s="6" t="s">
        <v>11</v>
      </c>
      <c r="G66" s="7" t="s">
        <v>144</v>
      </c>
    </row>
    <row r="67" spans="1:7" x14ac:dyDescent="0.35">
      <c r="A67" s="6" t="s">
        <v>136</v>
      </c>
      <c r="B67" s="6" t="s">
        <v>145</v>
      </c>
      <c r="C67" s="6" t="s">
        <v>10</v>
      </c>
      <c r="D67" s="6" t="s">
        <v>146</v>
      </c>
      <c r="E67" s="6">
        <v>30</v>
      </c>
      <c r="F67" s="6" t="s">
        <v>11</v>
      </c>
      <c r="G67" s="7" t="s">
        <v>147</v>
      </c>
    </row>
    <row r="68" spans="1:7" x14ac:dyDescent="0.35">
      <c r="A68" s="6" t="s">
        <v>136</v>
      </c>
      <c r="B68" s="6" t="s">
        <v>148</v>
      </c>
      <c r="C68" s="6" t="s">
        <v>10</v>
      </c>
      <c r="D68" s="6" t="s">
        <v>146</v>
      </c>
      <c r="E68" s="6">
        <v>40</v>
      </c>
      <c r="F68" s="6" t="s">
        <v>11</v>
      </c>
      <c r="G68" s="7" t="s">
        <v>149</v>
      </c>
    </row>
    <row r="69" spans="1:7" x14ac:dyDescent="0.35">
      <c r="A69" s="6" t="s">
        <v>136</v>
      </c>
      <c r="B69" s="6" t="s">
        <v>150</v>
      </c>
      <c r="C69" s="6" t="s">
        <v>10</v>
      </c>
      <c r="D69" s="6" t="s">
        <v>146</v>
      </c>
      <c r="E69" s="6">
        <v>40</v>
      </c>
      <c r="F69" s="6" t="s">
        <v>11</v>
      </c>
      <c r="G69" s="7" t="s">
        <v>151</v>
      </c>
    </row>
    <row r="70" spans="1:7" x14ac:dyDescent="0.35">
      <c r="A70" s="6" t="s">
        <v>136</v>
      </c>
      <c r="B70" s="6" t="s">
        <v>152</v>
      </c>
      <c r="C70" s="6" t="s">
        <v>10</v>
      </c>
      <c r="D70" s="6" t="s">
        <v>146</v>
      </c>
      <c r="E70" s="6">
        <v>40</v>
      </c>
      <c r="F70" s="6" t="s">
        <v>11</v>
      </c>
      <c r="G70" s="7" t="s">
        <v>153</v>
      </c>
    </row>
    <row r="71" spans="1:7" x14ac:dyDescent="0.35">
      <c r="A71" s="6" t="s">
        <v>136</v>
      </c>
      <c r="B71" s="6" t="s">
        <v>154</v>
      </c>
      <c r="C71" s="6" t="s">
        <v>10</v>
      </c>
      <c r="D71" s="6" t="s">
        <v>146</v>
      </c>
      <c r="E71" s="6" t="s">
        <v>35</v>
      </c>
      <c r="F71" s="6" t="s">
        <v>11</v>
      </c>
      <c r="G71" s="7" t="s">
        <v>155</v>
      </c>
    </row>
    <row r="72" spans="1:7" x14ac:dyDescent="0.35">
      <c r="A72" s="6" t="s">
        <v>156</v>
      </c>
      <c r="B72" s="6" t="s">
        <v>157</v>
      </c>
      <c r="C72" s="6" t="s">
        <v>10</v>
      </c>
      <c r="D72" s="6" t="s">
        <v>50</v>
      </c>
      <c r="E72" s="6">
        <v>20</v>
      </c>
      <c r="F72" s="6" t="s">
        <v>11</v>
      </c>
      <c r="G72" s="7" t="s">
        <v>158</v>
      </c>
    </row>
    <row r="73" spans="1:7" x14ac:dyDescent="0.35">
      <c r="A73" s="6" t="s">
        <v>159</v>
      </c>
      <c r="B73" s="6" t="s">
        <v>160</v>
      </c>
      <c r="C73" s="6" t="s">
        <v>10</v>
      </c>
      <c r="D73" s="6" t="s">
        <v>146</v>
      </c>
      <c r="E73" s="6">
        <v>50</v>
      </c>
      <c r="F73" s="6" t="s">
        <v>11</v>
      </c>
      <c r="G73" s="7" t="s">
        <v>161</v>
      </c>
    </row>
    <row r="74" spans="1:7" x14ac:dyDescent="0.35">
      <c r="A74" s="6" t="s">
        <v>156</v>
      </c>
      <c r="B74" s="6" t="s">
        <v>162</v>
      </c>
      <c r="C74" s="6" t="s">
        <v>10</v>
      </c>
      <c r="D74" s="6" t="s">
        <v>146</v>
      </c>
      <c r="E74" s="6">
        <v>60</v>
      </c>
      <c r="F74" s="6" t="s">
        <v>11</v>
      </c>
      <c r="G74" s="7" t="s">
        <v>163</v>
      </c>
    </row>
    <row r="75" spans="1:7" x14ac:dyDescent="0.35">
      <c r="A75" s="6" t="s">
        <v>156</v>
      </c>
      <c r="B75" s="6" t="s">
        <v>164</v>
      </c>
      <c r="C75" s="6" t="s">
        <v>10</v>
      </c>
      <c r="D75" s="6" t="s">
        <v>146</v>
      </c>
      <c r="E75" s="6">
        <v>70</v>
      </c>
      <c r="F75" s="6" t="s">
        <v>11</v>
      </c>
      <c r="G75" s="7" t="s">
        <v>165</v>
      </c>
    </row>
    <row r="76" spans="1:7" x14ac:dyDescent="0.35">
      <c r="A76" s="6" t="s">
        <v>156</v>
      </c>
      <c r="B76" s="6" t="s">
        <v>166</v>
      </c>
      <c r="C76" s="6" t="s">
        <v>10</v>
      </c>
      <c r="D76" s="6" t="s">
        <v>146</v>
      </c>
      <c r="E76" s="6">
        <v>80</v>
      </c>
      <c r="F76" s="6" t="s">
        <v>11</v>
      </c>
      <c r="G76" s="7" t="s">
        <v>167</v>
      </c>
    </row>
    <row r="77" spans="1:7" x14ac:dyDescent="0.35">
      <c r="A77" s="6" t="s">
        <v>135</v>
      </c>
      <c r="B77" s="6" t="s">
        <v>168</v>
      </c>
      <c r="C77" s="6" t="s">
        <v>10</v>
      </c>
      <c r="D77" s="6" t="s">
        <v>50</v>
      </c>
      <c r="E77" s="6" t="s">
        <v>35</v>
      </c>
      <c r="F77" s="6" t="s">
        <v>169</v>
      </c>
      <c r="G77" s="7" t="s">
        <v>170</v>
      </c>
    </row>
    <row r="78" spans="1:7" x14ac:dyDescent="0.35">
      <c r="A78" s="15" t="s">
        <v>171</v>
      </c>
      <c r="B78" s="15"/>
      <c r="C78" s="15"/>
      <c r="D78" s="15"/>
      <c r="E78" s="15"/>
      <c r="F78" s="15"/>
      <c r="G78" s="16"/>
    </row>
    <row r="79" spans="1:7" x14ac:dyDescent="0.35">
      <c r="A79" s="6" t="s">
        <v>171</v>
      </c>
      <c r="B79" s="6" t="s">
        <v>172</v>
      </c>
      <c r="C79" s="6" t="s">
        <v>10</v>
      </c>
      <c r="D79" s="6" t="s">
        <v>36</v>
      </c>
      <c r="E79" s="6">
        <v>20</v>
      </c>
      <c r="F79" s="6" t="s">
        <v>11</v>
      </c>
      <c r="G79" s="7" t="s">
        <v>173</v>
      </c>
    </row>
    <row r="80" spans="1:7" x14ac:dyDescent="0.35">
      <c r="A80" s="6" t="s">
        <v>174</v>
      </c>
      <c r="B80" s="6" t="s">
        <v>175</v>
      </c>
      <c r="C80" s="6" t="s">
        <v>10</v>
      </c>
      <c r="D80" s="6" t="s">
        <v>176</v>
      </c>
      <c r="E80" s="6">
        <v>25</v>
      </c>
      <c r="F80" s="6" t="s">
        <v>11</v>
      </c>
      <c r="G80" s="7" t="s">
        <v>177</v>
      </c>
    </row>
    <row r="81" spans="1:7" x14ac:dyDescent="0.35">
      <c r="A81" s="6" t="s">
        <v>178</v>
      </c>
      <c r="B81" s="6" t="s">
        <v>179</v>
      </c>
      <c r="C81" s="6" t="s">
        <v>10</v>
      </c>
      <c r="D81" s="6" t="s">
        <v>176</v>
      </c>
      <c r="E81" s="6">
        <v>30</v>
      </c>
      <c r="F81" s="6" t="s">
        <v>11</v>
      </c>
      <c r="G81" s="7" t="s">
        <v>180</v>
      </c>
    </row>
    <row r="82" spans="1:7" x14ac:dyDescent="0.35">
      <c r="A82" s="6" t="s">
        <v>178</v>
      </c>
      <c r="B82" s="6" t="s">
        <v>181</v>
      </c>
      <c r="C82" s="6" t="s">
        <v>10</v>
      </c>
      <c r="D82" s="6" t="s">
        <v>176</v>
      </c>
      <c r="E82" s="6">
        <v>40</v>
      </c>
      <c r="F82" s="6" t="s">
        <v>11</v>
      </c>
      <c r="G82" s="7" t="s">
        <v>182</v>
      </c>
    </row>
    <row r="83" spans="1:7" x14ac:dyDescent="0.35">
      <c r="A83" s="6" t="s">
        <v>178</v>
      </c>
      <c r="B83" s="6" t="s">
        <v>183</v>
      </c>
      <c r="C83" s="6" t="s">
        <v>10</v>
      </c>
      <c r="D83" s="6" t="s">
        <v>176</v>
      </c>
      <c r="E83" s="6">
        <v>40</v>
      </c>
      <c r="F83" s="6" t="s">
        <v>11</v>
      </c>
      <c r="G83" s="7" t="s">
        <v>184</v>
      </c>
    </row>
    <row r="84" spans="1:7" x14ac:dyDescent="0.35">
      <c r="A84" s="6" t="s">
        <v>185</v>
      </c>
      <c r="B84" s="6" t="s">
        <v>186</v>
      </c>
      <c r="C84" s="6" t="s">
        <v>10</v>
      </c>
      <c r="D84" s="6" t="s">
        <v>36</v>
      </c>
      <c r="E84" s="6" t="s">
        <v>50</v>
      </c>
      <c r="F84" s="6" t="s">
        <v>37</v>
      </c>
      <c r="G84" s="7" t="s">
        <v>187</v>
      </c>
    </row>
    <row r="85" spans="1:7" x14ac:dyDescent="0.35">
      <c r="A85" s="9" t="s">
        <v>185</v>
      </c>
      <c r="B85" s="9" t="s">
        <v>188</v>
      </c>
      <c r="C85" s="10" t="s">
        <v>10</v>
      </c>
      <c r="D85" s="10" t="s">
        <v>36</v>
      </c>
      <c r="E85" s="11" t="s">
        <v>57</v>
      </c>
      <c r="F85" s="12" t="s">
        <v>169</v>
      </c>
      <c r="G85" s="12" t="s">
        <v>189</v>
      </c>
    </row>
    <row r="86" spans="1:7" x14ac:dyDescent="0.35">
      <c r="A86" s="15" t="s">
        <v>190</v>
      </c>
      <c r="B86" s="15"/>
      <c r="C86" s="15"/>
      <c r="D86" s="15"/>
      <c r="E86" s="15"/>
      <c r="F86" s="15"/>
      <c r="G86" s="16"/>
    </row>
    <row r="87" spans="1:7" x14ac:dyDescent="0.35">
      <c r="A87" s="6" t="s">
        <v>191</v>
      </c>
      <c r="B87" s="6" t="s">
        <v>192</v>
      </c>
      <c r="C87" s="6" t="s">
        <v>10</v>
      </c>
      <c r="D87" s="6" t="s">
        <v>57</v>
      </c>
      <c r="E87" s="6">
        <v>20</v>
      </c>
      <c r="F87" s="6" t="s">
        <v>11</v>
      </c>
      <c r="G87" s="7" t="s">
        <v>193</v>
      </c>
    </row>
    <row r="88" spans="1:7" x14ac:dyDescent="0.35">
      <c r="A88" s="6" t="s">
        <v>191</v>
      </c>
      <c r="B88" s="6" t="s">
        <v>194</v>
      </c>
      <c r="C88" s="6" t="s">
        <v>10</v>
      </c>
      <c r="D88" s="6" t="s">
        <v>57</v>
      </c>
      <c r="E88" s="6">
        <v>20</v>
      </c>
      <c r="F88" s="6" t="s">
        <v>11</v>
      </c>
      <c r="G88" s="7" t="s">
        <v>195</v>
      </c>
    </row>
    <row r="89" spans="1:7" x14ac:dyDescent="0.35">
      <c r="A89" s="6" t="s">
        <v>191</v>
      </c>
      <c r="B89" s="6" t="s">
        <v>196</v>
      </c>
      <c r="C89" s="6" t="s">
        <v>10</v>
      </c>
      <c r="D89" s="6" t="s">
        <v>36</v>
      </c>
      <c r="E89" s="6">
        <v>30</v>
      </c>
      <c r="F89" s="6" t="s">
        <v>11</v>
      </c>
      <c r="G89" s="7" t="s">
        <v>197</v>
      </c>
    </row>
    <row r="90" spans="1:7" x14ac:dyDescent="0.35">
      <c r="A90" s="6" t="s">
        <v>191</v>
      </c>
      <c r="B90" s="6" t="s">
        <v>198</v>
      </c>
      <c r="C90" s="6" t="s">
        <v>10</v>
      </c>
      <c r="D90" s="6" t="s">
        <v>36</v>
      </c>
      <c r="E90" s="6">
        <v>40</v>
      </c>
      <c r="F90" s="6" t="s">
        <v>11</v>
      </c>
      <c r="G90" s="7" t="s">
        <v>199</v>
      </c>
    </row>
    <row r="91" spans="1:7" x14ac:dyDescent="0.35">
      <c r="A91" s="6" t="s">
        <v>191</v>
      </c>
      <c r="B91" s="6" t="s">
        <v>200</v>
      </c>
      <c r="C91" s="6" t="s">
        <v>10</v>
      </c>
      <c r="D91" s="6" t="s">
        <v>36</v>
      </c>
      <c r="E91" s="6">
        <v>40</v>
      </c>
      <c r="F91" s="6" t="s">
        <v>11</v>
      </c>
      <c r="G91" s="7" t="s">
        <v>201</v>
      </c>
    </row>
    <row r="92" spans="1:7" x14ac:dyDescent="0.35">
      <c r="A92" s="6" t="s">
        <v>191</v>
      </c>
      <c r="B92" s="6" t="s">
        <v>202</v>
      </c>
      <c r="C92" s="6" t="s">
        <v>10</v>
      </c>
      <c r="D92" s="6" t="s">
        <v>60</v>
      </c>
      <c r="E92" s="6">
        <v>50</v>
      </c>
      <c r="F92" s="6" t="s">
        <v>11</v>
      </c>
      <c r="G92" s="7" t="s">
        <v>203</v>
      </c>
    </row>
    <row r="93" spans="1:7" x14ac:dyDescent="0.35">
      <c r="A93" s="6" t="s">
        <v>191</v>
      </c>
      <c r="B93" s="6" t="s">
        <v>204</v>
      </c>
      <c r="C93" s="6" t="s">
        <v>10</v>
      </c>
      <c r="D93" s="6" t="s">
        <v>65</v>
      </c>
      <c r="E93" s="6">
        <v>60</v>
      </c>
      <c r="F93" s="6" t="s">
        <v>11</v>
      </c>
      <c r="G93" s="7" t="s">
        <v>205</v>
      </c>
    </row>
    <row r="94" spans="1:7" x14ac:dyDescent="0.35">
      <c r="A94" s="6" t="s">
        <v>206</v>
      </c>
      <c r="B94" s="6" t="s">
        <v>61</v>
      </c>
      <c r="C94" s="6" t="s">
        <v>10</v>
      </c>
      <c r="D94" s="6" t="s">
        <v>36</v>
      </c>
      <c r="E94" s="6">
        <v>45</v>
      </c>
      <c r="F94" s="6" t="s">
        <v>44</v>
      </c>
      <c r="G94" s="7" t="s">
        <v>207</v>
      </c>
    </row>
    <row r="95" spans="1:7" x14ac:dyDescent="0.35">
      <c r="A95" s="6" t="s">
        <v>190</v>
      </c>
      <c r="B95" s="6" t="s">
        <v>208</v>
      </c>
      <c r="C95" s="6" t="s">
        <v>10</v>
      </c>
      <c r="D95" s="6" t="s">
        <v>50</v>
      </c>
      <c r="E95" s="6" t="s">
        <v>35</v>
      </c>
      <c r="F95" s="6"/>
      <c r="G95" s="7" t="s">
        <v>209</v>
      </c>
    </row>
    <row r="96" spans="1:7" x14ac:dyDescent="0.35">
      <c r="A96" s="19" t="s">
        <v>471</v>
      </c>
      <c r="B96" s="4"/>
      <c r="C96" s="4"/>
      <c r="D96" s="4"/>
      <c r="E96" s="4"/>
      <c r="F96" s="4"/>
      <c r="G96" s="4"/>
    </row>
    <row r="97" spans="1:7" x14ac:dyDescent="0.35">
      <c r="A97" s="17" t="s">
        <v>472</v>
      </c>
      <c r="B97" s="6" t="s">
        <v>420</v>
      </c>
      <c r="C97" s="6" t="s">
        <v>10</v>
      </c>
      <c r="D97" s="6" t="s">
        <v>421</v>
      </c>
      <c r="E97" s="6" t="s">
        <v>35</v>
      </c>
      <c r="F97" s="6" t="s">
        <v>11</v>
      </c>
      <c r="G97" s="7" t="s">
        <v>422</v>
      </c>
    </row>
    <row r="98" spans="1:7" x14ac:dyDescent="0.35">
      <c r="A98" s="17" t="s">
        <v>473</v>
      </c>
      <c r="B98" s="18" t="s">
        <v>423</v>
      </c>
      <c r="C98" s="18" t="s">
        <v>10</v>
      </c>
      <c r="D98" s="18" t="s">
        <v>421</v>
      </c>
      <c r="E98" s="18" t="s">
        <v>35</v>
      </c>
      <c r="F98" s="18" t="s">
        <v>11</v>
      </c>
      <c r="G98" s="20" t="s">
        <v>424</v>
      </c>
    </row>
    <row r="99" spans="1:7" x14ac:dyDescent="0.35">
      <c r="A99" s="17" t="s">
        <v>474</v>
      </c>
      <c r="B99" s="18" t="s">
        <v>425</v>
      </c>
      <c r="C99" s="18" t="s">
        <v>10</v>
      </c>
      <c r="D99" s="18" t="s">
        <v>421</v>
      </c>
      <c r="E99" s="18" t="s">
        <v>35</v>
      </c>
      <c r="F99" s="18" t="s">
        <v>11</v>
      </c>
      <c r="G99" s="20" t="s">
        <v>426</v>
      </c>
    </row>
    <row r="100" spans="1:7" x14ac:dyDescent="0.35">
      <c r="A100" s="21" t="s">
        <v>475</v>
      </c>
      <c r="B100" s="6" t="s">
        <v>427</v>
      </c>
      <c r="C100" s="6" t="s">
        <v>10</v>
      </c>
      <c r="D100" s="6" t="s">
        <v>421</v>
      </c>
      <c r="E100" s="6" t="s">
        <v>35</v>
      </c>
      <c r="F100" s="6" t="s">
        <v>11</v>
      </c>
      <c r="G100" s="7" t="s">
        <v>428</v>
      </c>
    </row>
    <row r="101" spans="1:7" x14ac:dyDescent="0.35">
      <c r="A101" s="21" t="s">
        <v>476</v>
      </c>
      <c r="B101" s="6" t="s">
        <v>429</v>
      </c>
      <c r="C101" s="6" t="s">
        <v>10</v>
      </c>
      <c r="D101" s="6" t="s">
        <v>421</v>
      </c>
      <c r="E101" s="6" t="s">
        <v>35</v>
      </c>
      <c r="F101" s="6" t="s">
        <v>11</v>
      </c>
      <c r="G101" s="7" t="s">
        <v>430</v>
      </c>
    </row>
    <row r="102" spans="1:7" x14ac:dyDescent="0.35">
      <c r="A102" s="21" t="s">
        <v>477</v>
      </c>
      <c r="B102" s="6" t="s">
        <v>431</v>
      </c>
      <c r="C102" s="6" t="s">
        <v>10</v>
      </c>
      <c r="D102" s="6" t="s">
        <v>421</v>
      </c>
      <c r="E102" s="6" t="s">
        <v>35</v>
      </c>
      <c r="F102" s="6" t="s">
        <v>11</v>
      </c>
      <c r="G102" s="7" t="s">
        <v>432</v>
      </c>
    </row>
    <row r="103" spans="1:7" x14ac:dyDescent="0.35">
      <c r="A103" s="21" t="s">
        <v>478</v>
      </c>
      <c r="B103" s="6" t="s">
        <v>433</v>
      </c>
      <c r="C103" s="6" t="s">
        <v>10</v>
      </c>
      <c r="D103" s="6" t="s">
        <v>421</v>
      </c>
      <c r="E103" s="6" t="s">
        <v>35</v>
      </c>
      <c r="F103" s="6" t="s">
        <v>11</v>
      </c>
      <c r="G103" s="7" t="s">
        <v>434</v>
      </c>
    </row>
    <row r="104" spans="1:7" x14ac:dyDescent="0.35">
      <c r="A104" s="21" t="s">
        <v>479</v>
      </c>
      <c r="B104" s="22" t="s">
        <v>435</v>
      </c>
      <c r="C104" s="6" t="s">
        <v>10</v>
      </c>
      <c r="D104" s="6" t="s">
        <v>421</v>
      </c>
      <c r="E104" s="6" t="s">
        <v>35</v>
      </c>
      <c r="F104" s="6" t="s">
        <v>11</v>
      </c>
      <c r="G104" s="7" t="s">
        <v>436</v>
      </c>
    </row>
    <row r="105" spans="1:7" x14ac:dyDescent="0.35">
      <c r="A105" s="21" t="s">
        <v>480</v>
      </c>
      <c r="B105" s="22" t="s">
        <v>437</v>
      </c>
      <c r="C105" s="6" t="s">
        <v>10</v>
      </c>
      <c r="D105" s="6" t="s">
        <v>421</v>
      </c>
      <c r="E105" s="6" t="s">
        <v>35</v>
      </c>
      <c r="F105" s="6" t="s">
        <v>11</v>
      </c>
      <c r="G105" s="7" t="s">
        <v>438</v>
      </c>
    </row>
    <row r="106" spans="1:7" x14ac:dyDescent="0.35">
      <c r="A106" s="21" t="s">
        <v>481</v>
      </c>
      <c r="B106" s="22" t="s">
        <v>439</v>
      </c>
      <c r="C106" s="6" t="s">
        <v>10</v>
      </c>
      <c r="D106" s="6" t="s">
        <v>421</v>
      </c>
      <c r="E106" s="6" t="s">
        <v>35</v>
      </c>
      <c r="F106" s="6" t="s">
        <v>11</v>
      </c>
      <c r="G106" s="7" t="s">
        <v>440</v>
      </c>
    </row>
    <row r="107" spans="1:7" x14ac:dyDescent="0.35">
      <c r="A107" s="21" t="s">
        <v>482</v>
      </c>
      <c r="B107" s="22" t="s">
        <v>441</v>
      </c>
      <c r="C107" s="6" t="s">
        <v>10</v>
      </c>
      <c r="D107" s="6" t="s">
        <v>421</v>
      </c>
      <c r="E107" s="6" t="s">
        <v>35</v>
      </c>
      <c r="F107" s="6" t="s">
        <v>11</v>
      </c>
      <c r="G107" s="7" t="s">
        <v>442</v>
      </c>
    </row>
    <row r="108" spans="1:7" x14ac:dyDescent="0.35">
      <c r="A108" s="21" t="s">
        <v>483</v>
      </c>
      <c r="B108" s="22" t="s">
        <v>443</v>
      </c>
      <c r="C108" s="6" t="s">
        <v>10</v>
      </c>
      <c r="D108" s="6" t="s">
        <v>421</v>
      </c>
      <c r="E108" s="6" t="s">
        <v>35</v>
      </c>
      <c r="F108" s="6" t="s">
        <v>11</v>
      </c>
      <c r="G108" s="7" t="s">
        <v>444</v>
      </c>
    </row>
    <row r="109" spans="1:7" x14ac:dyDescent="0.35">
      <c r="A109" s="21" t="s">
        <v>484</v>
      </c>
      <c r="B109" s="23" t="s">
        <v>445</v>
      </c>
      <c r="C109" s="6" t="s">
        <v>10</v>
      </c>
      <c r="D109" s="6" t="s">
        <v>421</v>
      </c>
      <c r="E109" s="6" t="s">
        <v>35</v>
      </c>
      <c r="F109" s="6" t="s">
        <v>11</v>
      </c>
      <c r="G109" s="7" t="s">
        <v>446</v>
      </c>
    </row>
    <row r="110" spans="1:7" x14ac:dyDescent="0.35">
      <c r="A110" s="21" t="s">
        <v>485</v>
      </c>
      <c r="B110" s="22" t="s">
        <v>447</v>
      </c>
      <c r="C110" s="6" t="s">
        <v>10</v>
      </c>
      <c r="D110" s="6" t="s">
        <v>421</v>
      </c>
      <c r="E110" s="6" t="s">
        <v>35</v>
      </c>
      <c r="F110" s="6" t="s">
        <v>11</v>
      </c>
      <c r="G110" s="7" t="s">
        <v>448</v>
      </c>
    </row>
    <row r="111" spans="1:7" x14ac:dyDescent="0.35">
      <c r="A111" s="24" t="s">
        <v>486</v>
      </c>
      <c r="B111" s="23" t="s">
        <v>449</v>
      </c>
      <c r="C111" s="6" t="s">
        <v>10</v>
      </c>
      <c r="D111" s="6" t="s">
        <v>421</v>
      </c>
      <c r="E111" s="6" t="s">
        <v>35</v>
      </c>
      <c r="F111" s="6" t="s">
        <v>11</v>
      </c>
      <c r="G111" s="7" t="s">
        <v>450</v>
      </c>
    </row>
    <row r="112" spans="1:7" x14ac:dyDescent="0.35">
      <c r="A112" s="24" t="s">
        <v>487</v>
      </c>
      <c r="B112" s="23" t="s">
        <v>451</v>
      </c>
      <c r="C112" s="6" t="s">
        <v>10</v>
      </c>
      <c r="D112" s="6" t="s">
        <v>421</v>
      </c>
      <c r="E112" s="6" t="s">
        <v>35</v>
      </c>
      <c r="F112" s="6" t="s">
        <v>11</v>
      </c>
      <c r="G112" s="7" t="s">
        <v>452</v>
      </c>
    </row>
    <row r="113" spans="1:7" x14ac:dyDescent="0.35">
      <c r="A113" s="24" t="s">
        <v>488</v>
      </c>
      <c r="B113" s="23" t="s">
        <v>453</v>
      </c>
      <c r="C113" s="6" t="s">
        <v>10</v>
      </c>
      <c r="D113" s="6" t="s">
        <v>421</v>
      </c>
      <c r="E113" s="6" t="s">
        <v>35</v>
      </c>
      <c r="F113" s="6" t="s">
        <v>11</v>
      </c>
      <c r="G113" s="7" t="s">
        <v>454</v>
      </c>
    </row>
    <row r="114" spans="1:7" x14ac:dyDescent="0.35">
      <c r="A114" s="24" t="s">
        <v>489</v>
      </c>
      <c r="B114" s="23" t="s">
        <v>455</v>
      </c>
      <c r="C114" s="6" t="s">
        <v>10</v>
      </c>
      <c r="D114" s="6" t="s">
        <v>421</v>
      </c>
      <c r="E114" s="6" t="s">
        <v>35</v>
      </c>
      <c r="F114" s="6" t="s">
        <v>11</v>
      </c>
      <c r="G114" s="7" t="s">
        <v>456</v>
      </c>
    </row>
    <row r="115" spans="1:7" x14ac:dyDescent="0.35">
      <c r="A115" s="24" t="s">
        <v>490</v>
      </c>
      <c r="B115" s="23" t="s">
        <v>457</v>
      </c>
      <c r="C115" s="6" t="s">
        <v>10</v>
      </c>
      <c r="D115" s="6" t="s">
        <v>421</v>
      </c>
      <c r="E115" s="6" t="s">
        <v>35</v>
      </c>
      <c r="F115" s="6" t="s">
        <v>11</v>
      </c>
      <c r="G115" s="7" t="s">
        <v>458</v>
      </c>
    </row>
    <row r="116" spans="1:7" x14ac:dyDescent="0.35">
      <c r="A116" s="24" t="s">
        <v>491</v>
      </c>
      <c r="B116" s="23" t="s">
        <v>459</v>
      </c>
      <c r="C116" s="6" t="s">
        <v>10</v>
      </c>
      <c r="D116" s="6" t="s">
        <v>421</v>
      </c>
      <c r="E116" s="6" t="s">
        <v>35</v>
      </c>
      <c r="F116" s="6" t="s">
        <v>11</v>
      </c>
      <c r="G116" s="7" t="s">
        <v>460</v>
      </c>
    </row>
    <row r="117" spans="1:7" x14ac:dyDescent="0.35">
      <c r="A117" s="24" t="s">
        <v>492</v>
      </c>
      <c r="B117" s="23" t="s">
        <v>461</v>
      </c>
      <c r="C117" s="6" t="s">
        <v>10</v>
      </c>
      <c r="D117" s="6" t="s">
        <v>421</v>
      </c>
      <c r="E117" s="6" t="s">
        <v>35</v>
      </c>
      <c r="F117" s="6" t="s">
        <v>11</v>
      </c>
      <c r="G117" s="7" t="s">
        <v>462</v>
      </c>
    </row>
    <row r="118" spans="1:7" x14ac:dyDescent="0.35">
      <c r="A118" s="24" t="s">
        <v>493</v>
      </c>
      <c r="B118" s="6" t="s">
        <v>463</v>
      </c>
      <c r="C118" s="6" t="s">
        <v>10</v>
      </c>
      <c r="D118" s="6" t="s">
        <v>421</v>
      </c>
      <c r="E118" s="6" t="s">
        <v>35</v>
      </c>
      <c r="F118" s="6" t="s">
        <v>11</v>
      </c>
      <c r="G118" s="7" t="s">
        <v>464</v>
      </c>
    </row>
    <row r="119" spans="1:7" x14ac:dyDescent="0.35">
      <c r="A119" s="24" t="s">
        <v>494</v>
      </c>
      <c r="B119" s="6" t="s">
        <v>465</v>
      </c>
      <c r="C119" s="6" t="s">
        <v>10</v>
      </c>
      <c r="D119" s="6" t="s">
        <v>421</v>
      </c>
      <c r="E119" s="6" t="s">
        <v>35</v>
      </c>
      <c r="F119" s="6" t="s">
        <v>11</v>
      </c>
      <c r="G119" s="7" t="s">
        <v>466</v>
      </c>
    </row>
    <row r="120" spans="1:7" x14ac:dyDescent="0.35">
      <c r="A120" s="24" t="s">
        <v>495</v>
      </c>
      <c r="B120" s="6" t="s">
        <v>467</v>
      </c>
      <c r="C120" s="6" t="s">
        <v>10</v>
      </c>
      <c r="D120" s="6" t="s">
        <v>421</v>
      </c>
      <c r="E120" s="6" t="s">
        <v>35</v>
      </c>
      <c r="F120" s="6" t="s">
        <v>11</v>
      </c>
      <c r="G120" s="7" t="s">
        <v>468</v>
      </c>
    </row>
    <row r="121" spans="1:7" x14ac:dyDescent="0.35">
      <c r="A121" s="24" t="s">
        <v>496</v>
      </c>
      <c r="B121" s="6" t="s">
        <v>469</v>
      </c>
      <c r="C121" s="6" t="s">
        <v>10</v>
      </c>
      <c r="D121" s="6" t="s">
        <v>421</v>
      </c>
      <c r="E121" s="6" t="s">
        <v>35</v>
      </c>
      <c r="F121" s="6" t="s">
        <v>11</v>
      </c>
      <c r="G121" s="7" t="s">
        <v>470</v>
      </c>
    </row>
    <row r="122" spans="1:7" x14ac:dyDescent="0.35">
      <c r="A122" s="15" t="s">
        <v>210</v>
      </c>
      <c r="B122" s="4"/>
      <c r="C122" s="4"/>
      <c r="D122" s="4"/>
      <c r="E122" s="4"/>
      <c r="F122" s="4"/>
      <c r="G122" s="5"/>
    </row>
    <row r="123" spans="1:7" x14ac:dyDescent="0.35">
      <c r="A123" s="6" t="s">
        <v>211</v>
      </c>
      <c r="B123" s="6" t="s">
        <v>212</v>
      </c>
      <c r="C123" s="6" t="s">
        <v>10</v>
      </c>
      <c r="D123" s="6" t="s">
        <v>31</v>
      </c>
      <c r="E123" s="6">
        <v>40</v>
      </c>
      <c r="F123" s="6" t="s">
        <v>11</v>
      </c>
      <c r="G123" s="7" t="s">
        <v>213</v>
      </c>
    </row>
    <row r="124" spans="1:7" x14ac:dyDescent="0.35">
      <c r="A124" s="6" t="s">
        <v>214</v>
      </c>
      <c r="B124" s="6" t="s">
        <v>215</v>
      </c>
      <c r="C124" s="6" t="s">
        <v>10</v>
      </c>
      <c r="D124" s="6" t="s">
        <v>31</v>
      </c>
      <c r="E124" s="6">
        <v>50</v>
      </c>
      <c r="F124" s="6" t="s">
        <v>11</v>
      </c>
      <c r="G124" s="7" t="s">
        <v>216</v>
      </c>
    </row>
    <row r="125" spans="1:7" x14ac:dyDescent="0.35">
      <c r="A125" s="6" t="s">
        <v>217</v>
      </c>
      <c r="B125" s="6" t="s">
        <v>218</v>
      </c>
      <c r="C125" s="6" t="s">
        <v>10</v>
      </c>
      <c r="D125" s="6" t="s">
        <v>50</v>
      </c>
      <c r="E125" s="6" t="s">
        <v>35</v>
      </c>
      <c r="F125" s="6" t="s">
        <v>44</v>
      </c>
      <c r="G125" s="7" t="s">
        <v>219</v>
      </c>
    </row>
    <row r="126" spans="1:7" x14ac:dyDescent="0.35">
      <c r="A126" s="6" t="s">
        <v>217</v>
      </c>
      <c r="B126" s="6" t="s">
        <v>220</v>
      </c>
      <c r="C126" s="6" t="s">
        <v>10</v>
      </c>
      <c r="D126" s="6" t="s">
        <v>10</v>
      </c>
      <c r="E126" s="6">
        <v>25</v>
      </c>
      <c r="F126" s="6" t="s">
        <v>44</v>
      </c>
      <c r="G126" s="7" t="s">
        <v>221</v>
      </c>
    </row>
    <row r="127" spans="1:7" x14ac:dyDescent="0.35">
      <c r="A127" s="6" t="s">
        <v>222</v>
      </c>
      <c r="B127" s="6" t="s">
        <v>223</v>
      </c>
      <c r="C127" s="6" t="s">
        <v>10</v>
      </c>
      <c r="D127" s="6" t="s">
        <v>31</v>
      </c>
      <c r="E127" s="6" t="s">
        <v>224</v>
      </c>
      <c r="F127" s="6" t="s">
        <v>44</v>
      </c>
      <c r="G127" s="7" t="s">
        <v>225</v>
      </c>
    </row>
    <row r="128" spans="1:7" x14ac:dyDescent="0.35">
      <c r="A128" s="6" t="s">
        <v>226</v>
      </c>
      <c r="B128" s="6" t="s">
        <v>227</v>
      </c>
      <c r="C128" s="6" t="s">
        <v>10</v>
      </c>
      <c r="D128" s="6" t="s">
        <v>57</v>
      </c>
      <c r="E128" s="6" t="s">
        <v>35</v>
      </c>
      <c r="F128" s="6" t="s">
        <v>44</v>
      </c>
      <c r="G128" s="7" t="s">
        <v>228</v>
      </c>
    </row>
    <row r="129" spans="1:7" x14ac:dyDescent="0.35">
      <c r="A129" s="6" t="s">
        <v>229</v>
      </c>
      <c r="B129" s="6" t="s">
        <v>230</v>
      </c>
      <c r="C129" s="6" t="s">
        <v>10</v>
      </c>
      <c r="D129" s="6" t="s">
        <v>50</v>
      </c>
      <c r="E129" s="6" t="s">
        <v>35</v>
      </c>
      <c r="F129" s="6" t="s">
        <v>44</v>
      </c>
      <c r="G129" s="7" t="s">
        <v>231</v>
      </c>
    </row>
    <row r="130" spans="1:7" x14ac:dyDescent="0.35">
      <c r="A130" s="6" t="s">
        <v>232</v>
      </c>
      <c r="B130" s="6" t="s">
        <v>233</v>
      </c>
      <c r="C130" s="6" t="s">
        <v>10</v>
      </c>
      <c r="D130" s="6" t="s">
        <v>57</v>
      </c>
      <c r="E130" s="6" t="s">
        <v>35</v>
      </c>
      <c r="F130" s="6" t="s">
        <v>44</v>
      </c>
      <c r="G130" s="7" t="s">
        <v>234</v>
      </c>
    </row>
    <row r="131" spans="1:7" x14ac:dyDescent="0.35">
      <c r="A131" s="6" t="s">
        <v>235</v>
      </c>
      <c r="B131" s="6" t="s">
        <v>236</v>
      </c>
      <c r="C131" s="6" t="s">
        <v>10</v>
      </c>
      <c r="D131" s="6" t="s">
        <v>57</v>
      </c>
      <c r="E131" s="6" t="s">
        <v>35</v>
      </c>
      <c r="F131" s="6" t="s">
        <v>44</v>
      </c>
      <c r="G131" s="7" t="s">
        <v>237</v>
      </c>
    </row>
    <row r="132" spans="1:7" x14ac:dyDescent="0.35">
      <c r="A132" s="6" t="s">
        <v>238</v>
      </c>
      <c r="B132" s="6" t="s">
        <v>239</v>
      </c>
      <c r="C132" s="6" t="s">
        <v>10</v>
      </c>
      <c r="D132" s="6" t="s">
        <v>57</v>
      </c>
      <c r="E132" s="6" t="s">
        <v>35</v>
      </c>
      <c r="F132" s="6" t="s">
        <v>44</v>
      </c>
      <c r="G132" s="7" t="s">
        <v>240</v>
      </c>
    </row>
    <row r="133" spans="1:7" x14ac:dyDescent="0.35">
      <c r="A133" s="6" t="s">
        <v>241</v>
      </c>
      <c r="B133" s="6" t="s">
        <v>242</v>
      </c>
      <c r="C133" s="6" t="s">
        <v>10</v>
      </c>
      <c r="D133" s="6" t="s">
        <v>57</v>
      </c>
      <c r="E133" s="6" t="s">
        <v>35</v>
      </c>
      <c r="F133" s="6" t="s">
        <v>44</v>
      </c>
      <c r="G133" s="7" t="s">
        <v>243</v>
      </c>
    </row>
    <row r="134" spans="1:7" x14ac:dyDescent="0.35">
      <c r="A134" s="6" t="s">
        <v>244</v>
      </c>
      <c r="B134" s="6" t="s">
        <v>245</v>
      </c>
      <c r="C134" s="6" t="s">
        <v>10</v>
      </c>
      <c r="D134" s="6" t="s">
        <v>57</v>
      </c>
      <c r="E134" s="6" t="s">
        <v>35</v>
      </c>
      <c r="F134" s="6" t="s">
        <v>44</v>
      </c>
      <c r="G134" s="7" t="s">
        <v>246</v>
      </c>
    </row>
    <row r="135" spans="1:7" x14ac:dyDescent="0.35">
      <c r="A135" s="6" t="s">
        <v>247</v>
      </c>
      <c r="B135" s="6" t="s">
        <v>248</v>
      </c>
      <c r="C135" s="6" t="s">
        <v>10</v>
      </c>
      <c r="D135" s="6" t="s">
        <v>57</v>
      </c>
      <c r="E135" s="6" t="s">
        <v>35</v>
      </c>
      <c r="F135" s="6" t="s">
        <v>44</v>
      </c>
      <c r="G135" s="7" t="s">
        <v>249</v>
      </c>
    </row>
    <row r="136" spans="1:7" x14ac:dyDescent="0.35">
      <c r="A136" s="6" t="s">
        <v>250</v>
      </c>
      <c r="B136" s="6" t="s">
        <v>251</v>
      </c>
      <c r="C136" s="6" t="s">
        <v>10</v>
      </c>
      <c r="D136" s="6" t="s">
        <v>57</v>
      </c>
      <c r="E136" s="6" t="s">
        <v>35</v>
      </c>
      <c r="F136" s="6" t="s">
        <v>44</v>
      </c>
      <c r="G136" s="7" t="s">
        <v>252</v>
      </c>
    </row>
    <row r="137" spans="1:7" x14ac:dyDescent="0.35">
      <c r="A137" s="6" t="s">
        <v>253</v>
      </c>
      <c r="B137" s="6" t="s">
        <v>254</v>
      </c>
      <c r="C137" s="6" t="s">
        <v>10</v>
      </c>
      <c r="D137" s="6" t="s">
        <v>57</v>
      </c>
      <c r="E137" s="6" t="s">
        <v>35</v>
      </c>
      <c r="F137" s="6" t="s">
        <v>44</v>
      </c>
      <c r="G137" s="7" t="s">
        <v>255</v>
      </c>
    </row>
    <row r="138" spans="1:7" x14ac:dyDescent="0.35">
      <c r="A138" s="6" t="s">
        <v>256</v>
      </c>
      <c r="B138" s="6" t="s">
        <v>257</v>
      </c>
      <c r="C138" s="6" t="s">
        <v>10</v>
      </c>
      <c r="D138" s="6" t="s">
        <v>57</v>
      </c>
      <c r="E138" s="6" t="s">
        <v>35</v>
      </c>
      <c r="F138" s="6" t="s">
        <v>44</v>
      </c>
      <c r="G138" s="7" t="s">
        <v>258</v>
      </c>
    </row>
    <row r="139" spans="1:7" x14ac:dyDescent="0.35">
      <c r="A139" s="6" t="s">
        <v>259</v>
      </c>
      <c r="B139" s="6" t="s">
        <v>220</v>
      </c>
      <c r="C139" s="6" t="s">
        <v>10</v>
      </c>
      <c r="D139" s="6" t="s">
        <v>31</v>
      </c>
      <c r="E139" s="6" t="s">
        <v>35</v>
      </c>
      <c r="F139" s="6" t="s">
        <v>44</v>
      </c>
      <c r="G139" s="7" t="s">
        <v>260</v>
      </c>
    </row>
    <row r="140" spans="1:7" x14ac:dyDescent="0.35">
      <c r="A140" s="6" t="s">
        <v>261</v>
      </c>
      <c r="B140" s="6" t="s">
        <v>262</v>
      </c>
      <c r="C140" s="6" t="s">
        <v>10</v>
      </c>
      <c r="D140" s="6" t="s">
        <v>31</v>
      </c>
      <c r="E140" s="6" t="s">
        <v>35</v>
      </c>
      <c r="F140" s="6" t="s">
        <v>44</v>
      </c>
      <c r="G140" s="7" t="s">
        <v>263</v>
      </c>
    </row>
    <row r="141" spans="1:7" x14ac:dyDescent="0.35">
      <c r="A141" s="6" t="s">
        <v>264</v>
      </c>
      <c r="B141" s="6" t="s">
        <v>265</v>
      </c>
      <c r="C141" s="6" t="s">
        <v>10</v>
      </c>
      <c r="D141" s="6" t="s">
        <v>31</v>
      </c>
      <c r="E141" s="6" t="s">
        <v>35</v>
      </c>
      <c r="F141" s="6" t="s">
        <v>44</v>
      </c>
      <c r="G141" s="7" t="s">
        <v>266</v>
      </c>
    </row>
    <row r="142" spans="1:7" x14ac:dyDescent="0.35">
      <c r="A142" s="6" t="s">
        <v>267</v>
      </c>
      <c r="B142" s="6" t="s">
        <v>268</v>
      </c>
      <c r="C142" s="6" t="s">
        <v>10</v>
      </c>
      <c r="D142" s="6" t="s">
        <v>31</v>
      </c>
      <c r="E142" s="6" t="s">
        <v>35</v>
      </c>
      <c r="F142" s="8" t="s">
        <v>169</v>
      </c>
      <c r="G142" s="7" t="s">
        <v>269</v>
      </c>
    </row>
    <row r="143" spans="1:7" x14ac:dyDescent="0.35">
      <c r="A143" s="15" t="s">
        <v>497</v>
      </c>
      <c r="B143" s="4"/>
      <c r="C143" s="4"/>
      <c r="D143" s="4"/>
      <c r="E143" s="4"/>
      <c r="F143" s="4"/>
      <c r="G143" s="5"/>
    </row>
    <row r="144" spans="1:7" x14ac:dyDescent="0.35">
      <c r="A144" s="6" t="s">
        <v>498</v>
      </c>
      <c r="B144" s="6" t="s">
        <v>270</v>
      </c>
      <c r="C144" s="6" t="s">
        <v>10</v>
      </c>
      <c r="D144" s="6" t="s">
        <v>35</v>
      </c>
      <c r="E144" s="6" t="s">
        <v>35</v>
      </c>
      <c r="F144" s="6" t="s">
        <v>169</v>
      </c>
      <c r="G144" s="7" t="s">
        <v>271</v>
      </c>
    </row>
    <row r="145" spans="1:7" x14ac:dyDescent="0.35">
      <c r="A145" s="6" t="s">
        <v>498</v>
      </c>
      <c r="B145" s="6" t="s">
        <v>272</v>
      </c>
      <c r="C145" s="6" t="s">
        <v>10</v>
      </c>
      <c r="D145" s="6" t="s">
        <v>35</v>
      </c>
      <c r="E145" s="6" t="s">
        <v>35</v>
      </c>
      <c r="F145" s="8" t="s">
        <v>44</v>
      </c>
      <c r="G145" s="7" t="str">
        <f t="shared" ref="G145:G159" si="2">_xlfn.CONCAT(305, "_", C145,"_",D145,"_",E145,"_",B145)</f>
        <v>305_01_10_10_Commodity Codes</v>
      </c>
    </row>
    <row r="146" spans="1:7" x14ac:dyDescent="0.35">
      <c r="A146" s="6" t="s">
        <v>498</v>
      </c>
      <c r="B146" s="6" t="s">
        <v>273</v>
      </c>
      <c r="C146" s="6" t="s">
        <v>10</v>
      </c>
      <c r="D146" s="6" t="s">
        <v>35</v>
      </c>
      <c r="E146" s="6" t="s">
        <v>35</v>
      </c>
      <c r="F146" s="8" t="s">
        <v>44</v>
      </c>
      <c r="G146" s="7" t="str">
        <f t="shared" si="2"/>
        <v>305_01_10_10_Production pools</v>
      </c>
    </row>
    <row r="147" spans="1:7" x14ac:dyDescent="0.35">
      <c r="A147" s="6" t="s">
        <v>498</v>
      </c>
      <c r="B147" s="6" t="s">
        <v>274</v>
      </c>
      <c r="C147" s="6" t="s">
        <v>10</v>
      </c>
      <c r="D147" s="6" t="s">
        <v>40</v>
      </c>
      <c r="E147" s="6" t="s">
        <v>40</v>
      </c>
      <c r="F147" s="8" t="s">
        <v>44</v>
      </c>
      <c r="G147" s="7" t="str">
        <f t="shared" si="2"/>
        <v>305_01_20_20_Cost groups</v>
      </c>
    </row>
    <row r="148" spans="1:7" x14ac:dyDescent="0.35">
      <c r="A148" s="6" t="s">
        <v>498</v>
      </c>
      <c r="B148" s="6" t="s">
        <v>275</v>
      </c>
      <c r="C148" s="6" t="s">
        <v>10</v>
      </c>
      <c r="D148" s="6" t="s">
        <v>40</v>
      </c>
      <c r="E148" s="6" t="s">
        <v>50</v>
      </c>
      <c r="F148" s="8" t="s">
        <v>44</v>
      </c>
      <c r="G148" s="7" t="str">
        <f t="shared" si="2"/>
        <v>305_01_20_30_Diagnosis areas</v>
      </c>
    </row>
    <row r="149" spans="1:7" x14ac:dyDescent="0.35">
      <c r="A149" s="6" t="s">
        <v>498</v>
      </c>
      <c r="B149" s="6" t="s">
        <v>276</v>
      </c>
      <c r="C149" s="6" t="s">
        <v>10</v>
      </c>
      <c r="D149" s="6" t="s">
        <v>40</v>
      </c>
      <c r="E149" s="6" t="s">
        <v>57</v>
      </c>
      <c r="F149" s="8" t="s">
        <v>44</v>
      </c>
      <c r="G149" s="7" t="str">
        <f t="shared" si="2"/>
        <v>305_01_20_40_Production groups</v>
      </c>
    </row>
    <row r="150" spans="1:7" x14ac:dyDescent="0.35">
      <c r="A150" s="6" t="s">
        <v>498</v>
      </c>
      <c r="B150" s="6" t="s">
        <v>277</v>
      </c>
      <c r="C150" s="6" t="s">
        <v>10</v>
      </c>
      <c r="D150" s="6" t="s">
        <v>50</v>
      </c>
      <c r="E150" s="6" t="s">
        <v>36</v>
      </c>
      <c r="F150" s="8" t="s">
        <v>44</v>
      </c>
      <c r="G150" s="7" t="str">
        <f t="shared" si="2"/>
        <v>305_01_30_50_Buyer groups</v>
      </c>
    </row>
    <row r="151" spans="1:7" x14ac:dyDescent="0.35">
      <c r="A151" s="6" t="s">
        <v>498</v>
      </c>
      <c r="B151" s="6" t="s">
        <v>278</v>
      </c>
      <c r="C151" s="6" t="s">
        <v>10</v>
      </c>
      <c r="D151" s="6" t="s">
        <v>50</v>
      </c>
      <c r="E151" s="6" t="s">
        <v>60</v>
      </c>
      <c r="F151" s="8" t="s">
        <v>44</v>
      </c>
      <c r="G151" s="7" t="str">
        <f t="shared" si="2"/>
        <v>305_01_30_60_Counting groups</v>
      </c>
    </row>
    <row r="152" spans="1:7" x14ac:dyDescent="0.35">
      <c r="A152" s="6" t="s">
        <v>498</v>
      </c>
      <c r="B152" s="6" t="s">
        <v>279</v>
      </c>
      <c r="C152" s="6" t="s">
        <v>10</v>
      </c>
      <c r="D152" s="6" t="s">
        <v>57</v>
      </c>
      <c r="E152" s="6" t="s">
        <v>40</v>
      </c>
      <c r="F152" s="8" t="s">
        <v>44</v>
      </c>
      <c r="G152" s="7" t="str">
        <f t="shared" si="2"/>
        <v>305_01_40_20_Service category</v>
      </c>
    </row>
    <row r="153" spans="1:7" x14ac:dyDescent="0.35">
      <c r="A153" s="6" t="s">
        <v>498</v>
      </c>
      <c r="B153" s="6" t="s">
        <v>280</v>
      </c>
      <c r="C153" s="6" t="s">
        <v>10</v>
      </c>
      <c r="D153" s="6" t="s">
        <v>281</v>
      </c>
      <c r="E153" s="6" t="s">
        <v>35</v>
      </c>
      <c r="F153" s="8" t="s">
        <v>44</v>
      </c>
      <c r="G153" s="7" t="str">
        <f t="shared" si="2"/>
        <v>305_01_305_10_Service intervals</v>
      </c>
    </row>
    <row r="154" spans="1:7" x14ac:dyDescent="0.35">
      <c r="A154" s="6" t="s">
        <v>498</v>
      </c>
      <c r="B154" s="6" t="s">
        <v>282</v>
      </c>
      <c r="C154" s="6" t="s">
        <v>10</v>
      </c>
      <c r="D154" s="6" t="s">
        <v>281</v>
      </c>
      <c r="E154" s="6" t="s">
        <v>40</v>
      </c>
      <c r="F154" s="8" t="s">
        <v>44</v>
      </c>
      <c r="G154" s="7" t="str">
        <f t="shared" si="2"/>
        <v>305_01_305_20_Service object groups</v>
      </c>
    </row>
    <row r="155" spans="1:7" x14ac:dyDescent="0.35">
      <c r="A155" s="6" t="s">
        <v>498</v>
      </c>
      <c r="B155" s="6" t="s">
        <v>283</v>
      </c>
      <c r="C155" s="6" t="s">
        <v>10</v>
      </c>
      <c r="D155" s="6" t="s">
        <v>281</v>
      </c>
      <c r="E155" s="6" t="s">
        <v>50</v>
      </c>
      <c r="F155" s="8" t="s">
        <v>44</v>
      </c>
      <c r="G155" s="7" t="str">
        <f t="shared" si="2"/>
        <v>305_01_305_30_Service objects</v>
      </c>
    </row>
    <row r="156" spans="1:7" x14ac:dyDescent="0.35">
      <c r="A156" s="6" t="s">
        <v>498</v>
      </c>
      <c r="B156" s="6" t="s">
        <v>284</v>
      </c>
      <c r="C156" s="6" t="s">
        <v>10</v>
      </c>
      <c r="D156" s="6" t="s">
        <v>281</v>
      </c>
      <c r="E156" s="6" t="s">
        <v>35</v>
      </c>
      <c r="F156" s="8" t="s">
        <v>44</v>
      </c>
      <c r="G156" s="7" t="str">
        <f t="shared" si="2"/>
        <v>305_01_305_10_Service repair conditions</v>
      </c>
    </row>
    <row r="157" spans="1:7" x14ac:dyDescent="0.35">
      <c r="A157" s="6" t="s">
        <v>498</v>
      </c>
      <c r="B157" s="6" t="s">
        <v>285</v>
      </c>
      <c r="C157" s="6" t="s">
        <v>10</v>
      </c>
      <c r="D157" s="6" t="s">
        <v>281</v>
      </c>
      <c r="E157" s="6" t="s">
        <v>35</v>
      </c>
      <c r="F157" s="8" t="s">
        <v>44</v>
      </c>
      <c r="G157" s="7" t="str">
        <f t="shared" si="2"/>
        <v>305_01_305_10_Service stages</v>
      </c>
    </row>
    <row r="158" spans="1:7" x14ac:dyDescent="0.35">
      <c r="A158" s="6" t="s">
        <v>498</v>
      </c>
      <c r="B158" s="6" t="s">
        <v>286</v>
      </c>
      <c r="C158" s="6" t="s">
        <v>10</v>
      </c>
      <c r="D158" s="6" t="s">
        <v>281</v>
      </c>
      <c r="E158" s="6" t="s">
        <v>40</v>
      </c>
      <c r="F158" s="8" t="s">
        <v>44</v>
      </c>
      <c r="G158" s="7" t="str">
        <f t="shared" si="2"/>
        <v>305_01_305_20_Service tasks</v>
      </c>
    </row>
    <row r="159" spans="1:7" x14ac:dyDescent="0.35">
      <c r="A159" s="6" t="s">
        <v>498</v>
      </c>
      <c r="B159" s="6" t="s">
        <v>287</v>
      </c>
      <c r="C159" s="6" t="s">
        <v>10</v>
      </c>
      <c r="D159" s="6" t="s">
        <v>281</v>
      </c>
      <c r="E159" s="6" t="s">
        <v>50</v>
      </c>
      <c r="F159" s="8" t="s">
        <v>44</v>
      </c>
      <c r="G159" s="7" t="str">
        <f t="shared" si="2"/>
        <v>305_01_305_30_Symptom areas</v>
      </c>
    </row>
    <row r="160" spans="1:7" x14ac:dyDescent="0.35">
      <c r="A160" s="15" t="s">
        <v>288</v>
      </c>
      <c r="B160" s="4"/>
      <c r="C160" s="4"/>
      <c r="D160" s="4"/>
      <c r="E160" s="4"/>
      <c r="F160" s="4"/>
      <c r="G160" s="5"/>
    </row>
    <row r="161" spans="1:7" x14ac:dyDescent="0.35">
      <c r="A161" s="6" t="s">
        <v>289</v>
      </c>
      <c r="B161" s="6" t="s">
        <v>290</v>
      </c>
      <c r="C161" s="6" t="s">
        <v>10</v>
      </c>
      <c r="D161" s="6" t="s">
        <v>50</v>
      </c>
      <c r="E161" s="6">
        <v>10</v>
      </c>
      <c r="F161" s="6" t="s">
        <v>44</v>
      </c>
      <c r="G161" s="7" t="s">
        <v>291</v>
      </c>
    </row>
    <row r="162" spans="1:7" x14ac:dyDescent="0.35">
      <c r="A162" s="6" t="s">
        <v>289</v>
      </c>
      <c r="B162" s="6" t="s">
        <v>292</v>
      </c>
      <c r="C162" s="6" t="s">
        <v>10</v>
      </c>
      <c r="D162" s="6" t="s">
        <v>50</v>
      </c>
      <c r="E162" s="6">
        <v>10</v>
      </c>
      <c r="F162" s="6" t="s">
        <v>44</v>
      </c>
      <c r="G162" s="7" t="s">
        <v>293</v>
      </c>
    </row>
    <row r="163" spans="1:7" x14ac:dyDescent="0.35">
      <c r="A163" s="6" t="s">
        <v>289</v>
      </c>
      <c r="B163" s="6" t="s">
        <v>294</v>
      </c>
      <c r="C163" s="6" t="s">
        <v>10</v>
      </c>
      <c r="D163" s="6" t="s">
        <v>50</v>
      </c>
      <c r="E163" s="6">
        <v>10</v>
      </c>
      <c r="F163" s="6" t="s">
        <v>44</v>
      </c>
      <c r="G163" s="7" t="s">
        <v>295</v>
      </c>
    </row>
    <row r="164" spans="1:7" x14ac:dyDescent="0.35">
      <c r="A164" s="6" t="s">
        <v>289</v>
      </c>
      <c r="B164" s="6" t="s">
        <v>296</v>
      </c>
      <c r="C164" s="6" t="s">
        <v>10</v>
      </c>
      <c r="D164" s="6" t="s">
        <v>50</v>
      </c>
      <c r="E164" s="6">
        <v>10</v>
      </c>
      <c r="F164" s="6" t="s">
        <v>44</v>
      </c>
      <c r="G164" s="7" t="s">
        <v>297</v>
      </c>
    </row>
    <row r="165" spans="1:7" x14ac:dyDescent="0.35">
      <c r="A165" s="6" t="s">
        <v>289</v>
      </c>
      <c r="B165" s="6" t="s">
        <v>298</v>
      </c>
      <c r="C165" s="6" t="s">
        <v>10</v>
      </c>
      <c r="D165" s="6" t="s">
        <v>57</v>
      </c>
      <c r="E165" s="6" t="s">
        <v>40</v>
      </c>
      <c r="F165" s="6" t="s">
        <v>44</v>
      </c>
      <c r="G165" s="7" t="s">
        <v>299</v>
      </c>
    </row>
    <row r="166" spans="1:7" x14ac:dyDescent="0.35">
      <c r="A166" s="6" t="s">
        <v>289</v>
      </c>
      <c r="B166" s="6" t="s">
        <v>300</v>
      </c>
      <c r="C166" s="6" t="s">
        <v>10</v>
      </c>
      <c r="D166" s="6" t="s">
        <v>57</v>
      </c>
      <c r="E166" s="6" t="s">
        <v>50</v>
      </c>
      <c r="F166" s="6" t="s">
        <v>44</v>
      </c>
      <c r="G166" s="7" t="s">
        <v>301</v>
      </c>
    </row>
    <row r="167" spans="1:7" x14ac:dyDescent="0.35">
      <c r="A167" s="15" t="s">
        <v>302</v>
      </c>
      <c r="B167" s="4"/>
      <c r="C167" s="4"/>
      <c r="D167" s="4"/>
      <c r="E167" s="4"/>
      <c r="F167" s="4"/>
      <c r="G167" s="5"/>
    </row>
    <row r="168" spans="1:7" x14ac:dyDescent="0.35">
      <c r="A168" s="6" t="s">
        <v>500</v>
      </c>
      <c r="B168" s="6" t="s">
        <v>303</v>
      </c>
      <c r="C168" s="6" t="s">
        <v>10</v>
      </c>
      <c r="D168" s="6" t="s">
        <v>304</v>
      </c>
      <c r="E168" s="6" t="s">
        <v>35</v>
      </c>
      <c r="F168" s="6" t="s">
        <v>44</v>
      </c>
      <c r="G168" s="7" t="s">
        <v>305</v>
      </c>
    </row>
    <row r="169" spans="1:7" x14ac:dyDescent="0.35">
      <c r="A169" s="6" t="s">
        <v>499</v>
      </c>
      <c r="B169" s="6" t="s">
        <v>306</v>
      </c>
      <c r="C169" s="6" t="s">
        <v>10</v>
      </c>
      <c r="D169" s="6" t="s">
        <v>304</v>
      </c>
      <c r="E169" s="6" t="s">
        <v>40</v>
      </c>
      <c r="F169" s="6" t="s">
        <v>44</v>
      </c>
      <c r="G169" s="7" t="s">
        <v>307</v>
      </c>
    </row>
    <row r="170" spans="1:7" x14ac:dyDescent="0.35">
      <c r="A170" s="6" t="s">
        <v>499</v>
      </c>
      <c r="B170" s="6" t="s">
        <v>308</v>
      </c>
      <c r="C170" s="6" t="s">
        <v>10</v>
      </c>
      <c r="D170" s="6" t="s">
        <v>304</v>
      </c>
      <c r="E170" s="6" t="s">
        <v>50</v>
      </c>
      <c r="F170" s="6" t="s">
        <v>44</v>
      </c>
      <c r="G170" s="7" t="s">
        <v>309</v>
      </c>
    </row>
    <row r="171" spans="1:7" x14ac:dyDescent="0.35">
      <c r="A171" s="6" t="s">
        <v>499</v>
      </c>
      <c r="B171" s="6" t="s">
        <v>310</v>
      </c>
      <c r="C171" s="6" t="s">
        <v>10</v>
      </c>
      <c r="D171" s="6" t="s">
        <v>304</v>
      </c>
      <c r="E171" s="6" t="s">
        <v>57</v>
      </c>
      <c r="F171" s="6" t="s">
        <v>44</v>
      </c>
      <c r="G171" s="7" t="s">
        <v>311</v>
      </c>
    </row>
    <row r="172" spans="1:7" x14ac:dyDescent="0.35">
      <c r="A172" s="15" t="s">
        <v>312</v>
      </c>
      <c r="B172" s="4"/>
      <c r="C172" s="4"/>
      <c r="D172" s="4"/>
      <c r="E172" s="4"/>
      <c r="F172" s="4"/>
      <c r="G172" s="5"/>
    </row>
    <row r="173" spans="1:7" x14ac:dyDescent="0.35">
      <c r="A173" s="6" t="s">
        <v>313</v>
      </c>
      <c r="B173" s="6" t="s">
        <v>314</v>
      </c>
      <c r="C173" s="6" t="s">
        <v>10</v>
      </c>
      <c r="D173" s="6" t="s">
        <v>315</v>
      </c>
      <c r="E173" s="6">
        <v>20</v>
      </c>
      <c r="F173" s="6" t="s">
        <v>44</v>
      </c>
      <c r="G173" s="7" t="s">
        <v>316</v>
      </c>
    </row>
    <row r="174" spans="1:7" x14ac:dyDescent="0.35">
      <c r="A174" s="6" t="s">
        <v>317</v>
      </c>
      <c r="B174" s="6" t="s">
        <v>318</v>
      </c>
      <c r="C174" s="6" t="s">
        <v>10</v>
      </c>
      <c r="D174" s="6" t="s">
        <v>50</v>
      </c>
      <c r="E174" s="6">
        <v>90</v>
      </c>
      <c r="F174" s="6" t="s">
        <v>44</v>
      </c>
      <c r="G174" s="7" t="s">
        <v>319</v>
      </c>
    </row>
    <row r="175" spans="1:7" x14ac:dyDescent="0.35">
      <c r="A175" s="6" t="s">
        <v>320</v>
      </c>
      <c r="B175" s="6" t="s">
        <v>321</v>
      </c>
      <c r="C175" s="6" t="s">
        <v>10</v>
      </c>
      <c r="D175" s="6" t="s">
        <v>40</v>
      </c>
      <c r="E175" s="6" t="s">
        <v>35</v>
      </c>
      <c r="F175" s="6" t="s">
        <v>44</v>
      </c>
      <c r="G175" s="7" t="s">
        <v>322</v>
      </c>
    </row>
    <row r="176" spans="1:7" x14ac:dyDescent="0.35">
      <c r="A176" s="6" t="s">
        <v>323</v>
      </c>
      <c r="B176" s="6" t="s">
        <v>324</v>
      </c>
      <c r="C176" s="6" t="s">
        <v>10</v>
      </c>
      <c r="D176" s="6" t="s">
        <v>93</v>
      </c>
      <c r="E176" s="6" t="s">
        <v>35</v>
      </c>
      <c r="F176" s="6" t="s">
        <v>44</v>
      </c>
      <c r="G176" s="7" t="s">
        <v>325</v>
      </c>
    </row>
    <row r="177" spans="1:7" x14ac:dyDescent="0.35">
      <c r="A177" s="6" t="s">
        <v>326</v>
      </c>
      <c r="B177" s="6" t="s">
        <v>327</v>
      </c>
      <c r="C177" s="6" t="s">
        <v>10</v>
      </c>
      <c r="D177" s="6" t="s">
        <v>315</v>
      </c>
      <c r="E177" s="6" t="s">
        <v>57</v>
      </c>
      <c r="F177" s="6" t="s">
        <v>44</v>
      </c>
      <c r="G177" s="7" t="s">
        <v>328</v>
      </c>
    </row>
    <row r="178" spans="1:7" x14ac:dyDescent="0.35">
      <c r="A178" s="6" t="s">
        <v>326</v>
      </c>
      <c r="B178" s="6" t="s">
        <v>329</v>
      </c>
      <c r="C178" s="6" t="s">
        <v>10</v>
      </c>
      <c r="D178" s="6" t="s">
        <v>315</v>
      </c>
      <c r="E178" s="6" t="s">
        <v>54</v>
      </c>
      <c r="F178" s="6" t="s">
        <v>44</v>
      </c>
      <c r="G178" s="7" t="s">
        <v>330</v>
      </c>
    </row>
    <row r="179" spans="1:7" x14ac:dyDescent="0.35">
      <c r="A179" s="6" t="s">
        <v>326</v>
      </c>
      <c r="B179" s="6" t="s">
        <v>331</v>
      </c>
      <c r="C179" s="6" t="s">
        <v>10</v>
      </c>
      <c r="D179" s="6" t="s">
        <v>315</v>
      </c>
      <c r="E179" s="6" t="s">
        <v>113</v>
      </c>
      <c r="F179" s="6" t="s">
        <v>44</v>
      </c>
      <c r="G179" s="7" t="str">
        <f t="shared" ref="G179:G198" si="3">_xlfn.CONCAT(410,"_",C179,"_",D179,"_",E179,"_",B179)</f>
        <v>410_01_410_100_Production unit</v>
      </c>
    </row>
    <row r="180" spans="1:7" x14ac:dyDescent="0.35">
      <c r="A180" s="6" t="s">
        <v>326</v>
      </c>
      <c r="B180" s="6" t="s">
        <v>332</v>
      </c>
      <c r="C180" s="6" t="s">
        <v>10</v>
      </c>
      <c r="D180" s="6" t="s">
        <v>315</v>
      </c>
      <c r="E180" s="6" t="s">
        <v>35</v>
      </c>
      <c r="F180" s="6" t="s">
        <v>44</v>
      </c>
      <c r="G180" s="7" t="str">
        <f t="shared" si="3"/>
        <v>410_01_410_10_Resource groups</v>
      </c>
    </row>
    <row r="181" spans="1:7" x14ac:dyDescent="0.35">
      <c r="A181" s="6" t="s">
        <v>326</v>
      </c>
      <c r="B181" s="6" t="s">
        <v>333</v>
      </c>
      <c r="C181" s="6" t="s">
        <v>10</v>
      </c>
      <c r="D181" s="6" t="s">
        <v>315</v>
      </c>
      <c r="E181" s="6" t="s">
        <v>35</v>
      </c>
      <c r="F181" s="6" t="s">
        <v>44</v>
      </c>
      <c r="G181" s="7" t="str">
        <f t="shared" si="3"/>
        <v>410_01_410_10_Working time</v>
      </c>
    </row>
    <row r="182" spans="1:7" x14ac:dyDescent="0.35">
      <c r="A182" s="6" t="s">
        <v>326</v>
      </c>
      <c r="B182" s="6" t="s">
        <v>334</v>
      </c>
      <c r="C182" s="6" t="s">
        <v>10</v>
      </c>
      <c r="D182" s="6" t="s">
        <v>315</v>
      </c>
      <c r="E182" s="6" t="s">
        <v>57</v>
      </c>
      <c r="F182" s="6" t="s">
        <v>44</v>
      </c>
      <c r="G182" s="7" t="str">
        <f t="shared" si="3"/>
        <v>410_01_410_40_Working times</v>
      </c>
    </row>
    <row r="183" spans="1:7" x14ac:dyDescent="0.35">
      <c r="A183" s="6" t="s">
        <v>326</v>
      </c>
      <c r="B183" s="6" t="s">
        <v>335</v>
      </c>
      <c r="C183" s="6" t="s">
        <v>10</v>
      </c>
      <c r="D183" s="6" t="s">
        <v>50</v>
      </c>
      <c r="E183" s="6" t="s">
        <v>36</v>
      </c>
      <c r="F183" s="8" t="s">
        <v>44</v>
      </c>
      <c r="G183" s="7" t="str">
        <f t="shared" si="3"/>
        <v>410_01_30_50_Released product creation V2</v>
      </c>
    </row>
    <row r="184" spans="1:7" x14ac:dyDescent="0.35">
      <c r="A184" s="6" t="s">
        <v>326</v>
      </c>
      <c r="B184" s="6" t="s">
        <v>336</v>
      </c>
      <c r="C184" s="6" t="s">
        <v>10</v>
      </c>
      <c r="D184" s="6" t="s">
        <v>40</v>
      </c>
      <c r="E184" s="6" t="s">
        <v>35</v>
      </c>
      <c r="F184" s="8" t="s">
        <v>44</v>
      </c>
      <c r="G184" s="7" t="str">
        <f t="shared" si="3"/>
        <v>410_01_20_10_Configurations</v>
      </c>
    </row>
    <row r="185" spans="1:7" x14ac:dyDescent="0.35">
      <c r="A185" s="6" t="s">
        <v>326</v>
      </c>
      <c r="B185" s="6" t="s">
        <v>337</v>
      </c>
      <c r="C185" s="6" t="s">
        <v>10</v>
      </c>
      <c r="D185" s="6" t="s">
        <v>93</v>
      </c>
      <c r="E185" s="6" t="s">
        <v>35</v>
      </c>
      <c r="F185" s="8" t="s">
        <v>44</v>
      </c>
      <c r="G185" s="7" t="str">
        <f t="shared" si="3"/>
        <v>410_01_25_10_Product master configuration</v>
      </c>
    </row>
    <row r="186" spans="1:7" x14ac:dyDescent="0.35">
      <c r="A186" s="6" t="s">
        <v>326</v>
      </c>
      <c r="B186" s="6" t="s">
        <v>338</v>
      </c>
      <c r="C186" s="6" t="s">
        <v>10</v>
      </c>
      <c r="D186" s="6" t="s">
        <v>315</v>
      </c>
      <c r="E186" s="6" t="s">
        <v>57</v>
      </c>
      <c r="F186" s="8" t="s">
        <v>44</v>
      </c>
      <c r="G186" s="7" t="str">
        <f t="shared" si="3"/>
        <v>410_01_410_40_Versions</v>
      </c>
    </row>
    <row r="187" spans="1:7" x14ac:dyDescent="0.35">
      <c r="A187" s="6" t="s">
        <v>326</v>
      </c>
      <c r="B187" s="6" t="s">
        <v>339</v>
      </c>
      <c r="C187" s="6" t="s">
        <v>10</v>
      </c>
      <c r="D187" s="6" t="s">
        <v>40</v>
      </c>
      <c r="E187" s="6" t="s">
        <v>36</v>
      </c>
      <c r="F187" s="8" t="s">
        <v>44</v>
      </c>
      <c r="G187" s="7" t="str">
        <f t="shared" si="3"/>
        <v>410_01_20_50_Product master versions</v>
      </c>
    </row>
    <row r="188" spans="1:7" x14ac:dyDescent="0.35">
      <c r="A188" s="6" t="s">
        <v>326</v>
      </c>
      <c r="B188" s="6" t="s">
        <v>340</v>
      </c>
      <c r="C188" s="6" t="s">
        <v>10</v>
      </c>
      <c r="D188" s="6" t="s">
        <v>93</v>
      </c>
      <c r="E188" s="6" t="s">
        <v>35</v>
      </c>
      <c r="F188" s="8" t="s">
        <v>44</v>
      </c>
      <c r="G188" s="7" t="str">
        <f t="shared" si="3"/>
        <v>410_01_25_10_Released product V2</v>
      </c>
    </row>
    <row r="189" spans="1:7" x14ac:dyDescent="0.35">
      <c r="A189" s="6" t="s">
        <v>326</v>
      </c>
      <c r="B189" s="6" t="s">
        <v>341</v>
      </c>
      <c r="C189" s="6" t="s">
        <v>10</v>
      </c>
      <c r="D189" s="6" t="s">
        <v>315</v>
      </c>
      <c r="E189" s="6" t="s">
        <v>35</v>
      </c>
      <c r="F189" s="8" t="s">
        <v>44</v>
      </c>
      <c r="G189" s="7" t="str">
        <f t="shared" si="3"/>
        <v>410_01_410_10_Released product variants V2</v>
      </c>
    </row>
    <row r="190" spans="1:7" x14ac:dyDescent="0.35">
      <c r="A190" s="6" t="s">
        <v>326</v>
      </c>
      <c r="B190" s="6" t="s">
        <v>342</v>
      </c>
      <c r="C190" s="6" t="s">
        <v>10</v>
      </c>
      <c r="D190" s="6" t="s">
        <v>315</v>
      </c>
      <c r="E190" s="6" t="s">
        <v>57</v>
      </c>
      <c r="F190" s="8" t="s">
        <v>44</v>
      </c>
      <c r="G190" s="7" t="str">
        <f t="shared" si="3"/>
        <v>410_01_410_40_BOM Header and Version</v>
      </c>
    </row>
    <row r="191" spans="1:7" x14ac:dyDescent="0.35">
      <c r="A191" s="6" t="s">
        <v>326</v>
      </c>
      <c r="B191" s="6" t="s">
        <v>343</v>
      </c>
      <c r="C191" s="6" t="s">
        <v>10</v>
      </c>
      <c r="D191" s="6" t="s">
        <v>315</v>
      </c>
      <c r="E191" s="6" t="s">
        <v>36</v>
      </c>
      <c r="F191" s="8" t="s">
        <v>44</v>
      </c>
      <c r="G191" s="7" t="str">
        <f t="shared" si="3"/>
        <v>410_01_410_50_Bom Versions</v>
      </c>
    </row>
    <row r="192" spans="1:7" x14ac:dyDescent="0.35">
      <c r="A192" s="6" t="s">
        <v>326</v>
      </c>
      <c r="B192" s="6" t="s">
        <v>344</v>
      </c>
      <c r="C192" s="6" t="s">
        <v>10</v>
      </c>
      <c r="D192" s="6" t="s">
        <v>315</v>
      </c>
      <c r="E192" s="6" t="s">
        <v>35</v>
      </c>
      <c r="F192" s="8" t="s">
        <v>44</v>
      </c>
      <c r="G192" s="7" t="str">
        <f t="shared" si="3"/>
        <v>410_01_410_10_Bom Lines</v>
      </c>
    </row>
    <row r="193" spans="1:7" x14ac:dyDescent="0.35">
      <c r="A193" s="6" t="s">
        <v>326</v>
      </c>
      <c r="B193" s="6" t="s">
        <v>345</v>
      </c>
      <c r="C193" s="6" t="s">
        <v>10</v>
      </c>
      <c r="D193" s="6" t="s">
        <v>315</v>
      </c>
      <c r="E193" s="6" t="s">
        <v>35</v>
      </c>
      <c r="F193" s="8" t="s">
        <v>44</v>
      </c>
      <c r="G193" s="7" t="str">
        <f t="shared" si="3"/>
        <v>410_01_410_10_Operations</v>
      </c>
    </row>
    <row r="194" spans="1:7" x14ac:dyDescent="0.35">
      <c r="A194" s="6" t="s">
        <v>326</v>
      </c>
      <c r="B194" s="6" t="s">
        <v>346</v>
      </c>
      <c r="C194" s="6" t="s">
        <v>10</v>
      </c>
      <c r="D194" s="6" t="s">
        <v>315</v>
      </c>
      <c r="E194" s="6" t="s">
        <v>57</v>
      </c>
      <c r="F194" s="8" t="s">
        <v>44</v>
      </c>
      <c r="G194" s="7" t="str">
        <f t="shared" si="3"/>
        <v>410_01_410_40_Route header</v>
      </c>
    </row>
    <row r="195" spans="1:7" x14ac:dyDescent="0.35">
      <c r="A195" s="6" t="s">
        <v>326</v>
      </c>
      <c r="B195" s="6" t="s">
        <v>347</v>
      </c>
      <c r="C195" s="6" t="s">
        <v>10</v>
      </c>
      <c r="D195" s="6" t="s">
        <v>315</v>
      </c>
      <c r="E195" s="6" t="s">
        <v>36</v>
      </c>
      <c r="F195" s="8" t="s">
        <v>44</v>
      </c>
      <c r="G195" s="7" t="str">
        <f t="shared" si="3"/>
        <v>410_01_410_50_Route ops properties</v>
      </c>
    </row>
    <row r="196" spans="1:7" x14ac:dyDescent="0.35">
      <c r="A196" s="6" t="s">
        <v>326</v>
      </c>
      <c r="B196" s="6" t="s">
        <v>348</v>
      </c>
      <c r="C196" s="6" t="s">
        <v>10</v>
      </c>
      <c r="D196" s="6" t="s">
        <v>315</v>
      </c>
      <c r="E196" s="6" t="s">
        <v>35</v>
      </c>
      <c r="F196" s="8" t="s">
        <v>44</v>
      </c>
      <c r="G196" s="7" t="str">
        <f t="shared" si="3"/>
        <v>410_01_410_10_Route properties</v>
      </c>
    </row>
    <row r="197" spans="1:7" x14ac:dyDescent="0.35">
      <c r="A197" s="6" t="s">
        <v>326</v>
      </c>
      <c r="B197" s="6" t="s">
        <v>349</v>
      </c>
      <c r="C197" s="6" t="s">
        <v>10</v>
      </c>
      <c r="D197" s="6" t="s">
        <v>315</v>
      </c>
      <c r="E197" s="6" t="s">
        <v>35</v>
      </c>
      <c r="F197" s="8" t="s">
        <v>44</v>
      </c>
      <c r="G197" s="7" t="str">
        <f t="shared" si="3"/>
        <v>410_01_410_10_Route versions</v>
      </c>
    </row>
    <row r="198" spans="1:7" x14ac:dyDescent="0.35">
      <c r="A198" s="6" t="s">
        <v>326</v>
      </c>
      <c r="B198" s="6" t="s">
        <v>350</v>
      </c>
      <c r="C198" s="6" t="s">
        <v>10</v>
      </c>
      <c r="D198" s="6" t="s">
        <v>315</v>
      </c>
      <c r="E198" s="6" t="s">
        <v>57</v>
      </c>
      <c r="F198" s="8" t="s">
        <v>44</v>
      </c>
      <c r="G198" s="7" t="str">
        <f t="shared" si="3"/>
        <v>410_01_410_40_Released product warehouse default v2</v>
      </c>
    </row>
    <row r="199" spans="1:7" x14ac:dyDescent="0.35">
      <c r="A199" s="15" t="s">
        <v>351</v>
      </c>
      <c r="B199" s="4"/>
      <c r="C199" s="4"/>
      <c r="D199" s="4"/>
      <c r="E199" s="4"/>
      <c r="F199" s="4"/>
      <c r="G199" s="5"/>
    </row>
    <row r="200" spans="1:7" x14ac:dyDescent="0.35">
      <c r="A200" s="6" t="s">
        <v>501</v>
      </c>
      <c r="B200" s="6" t="s">
        <v>352</v>
      </c>
      <c r="C200" s="6" t="s">
        <v>10</v>
      </c>
      <c r="D200" s="6" t="s">
        <v>50</v>
      </c>
      <c r="E200" s="6">
        <v>21</v>
      </c>
      <c r="F200" s="6" t="s">
        <v>353</v>
      </c>
      <c r="G200" s="7" t="s">
        <v>354</v>
      </c>
    </row>
    <row r="201" spans="1:7" x14ac:dyDescent="0.35">
      <c r="A201" s="6" t="s">
        <v>501</v>
      </c>
      <c r="B201" s="6" t="s">
        <v>355</v>
      </c>
      <c r="C201" s="6" t="s">
        <v>10</v>
      </c>
      <c r="D201" s="6" t="s">
        <v>50</v>
      </c>
      <c r="E201" s="6">
        <v>22</v>
      </c>
      <c r="F201" s="6" t="s">
        <v>353</v>
      </c>
      <c r="G201" s="7" t="s">
        <v>356</v>
      </c>
    </row>
    <row r="202" spans="1:7" x14ac:dyDescent="0.35">
      <c r="A202" s="6" t="s">
        <v>501</v>
      </c>
      <c r="B202" s="6" t="s">
        <v>357</v>
      </c>
      <c r="C202" s="6" t="s">
        <v>10</v>
      </c>
      <c r="D202" s="6" t="s">
        <v>31</v>
      </c>
      <c r="E202" s="6">
        <v>15</v>
      </c>
      <c r="F202" s="6" t="s">
        <v>353</v>
      </c>
      <c r="G202" s="7" t="s">
        <v>358</v>
      </c>
    </row>
    <row r="203" spans="1:7" x14ac:dyDescent="0.35">
      <c r="A203" s="6" t="s">
        <v>501</v>
      </c>
      <c r="B203" s="6" t="s">
        <v>359</v>
      </c>
      <c r="C203" s="6" t="s">
        <v>10</v>
      </c>
      <c r="D203" s="6" t="s">
        <v>50</v>
      </c>
      <c r="E203" s="6" t="s">
        <v>57</v>
      </c>
      <c r="F203" s="6" t="s">
        <v>353</v>
      </c>
      <c r="G203" s="7" t="s">
        <v>360</v>
      </c>
    </row>
    <row r="204" spans="1:7" x14ac:dyDescent="0.35">
      <c r="A204" s="6" t="s">
        <v>501</v>
      </c>
      <c r="B204" s="6" t="s">
        <v>361</v>
      </c>
      <c r="C204" s="6" t="s">
        <v>10</v>
      </c>
      <c r="D204" s="6" t="s">
        <v>50</v>
      </c>
      <c r="E204" s="6" t="s">
        <v>35</v>
      </c>
      <c r="F204" s="6" t="s">
        <v>353</v>
      </c>
      <c r="G204" s="7" t="s">
        <v>362</v>
      </c>
    </row>
    <row r="205" spans="1:7" x14ac:dyDescent="0.35">
      <c r="A205" s="15" t="s">
        <v>363</v>
      </c>
      <c r="B205" s="4"/>
      <c r="C205" s="4"/>
      <c r="D205" s="4"/>
      <c r="E205" s="4"/>
      <c r="F205" s="4"/>
      <c r="G205" s="5"/>
    </row>
    <row r="206" spans="1:7" x14ac:dyDescent="0.35">
      <c r="A206" s="6" t="s">
        <v>502</v>
      </c>
      <c r="B206" s="6" t="s">
        <v>364</v>
      </c>
      <c r="C206" s="6" t="s">
        <v>10</v>
      </c>
      <c r="D206" s="6" t="s">
        <v>57</v>
      </c>
      <c r="E206" s="6">
        <v>52</v>
      </c>
      <c r="F206" s="6" t="s">
        <v>44</v>
      </c>
      <c r="G206" s="7" t="s">
        <v>365</v>
      </c>
    </row>
    <row r="207" spans="1:7" x14ac:dyDescent="0.35">
      <c r="A207" s="6" t="s">
        <v>366</v>
      </c>
      <c r="B207" s="6" t="s">
        <v>367</v>
      </c>
      <c r="C207" s="6" t="s">
        <v>10</v>
      </c>
      <c r="D207" s="6" t="s">
        <v>368</v>
      </c>
      <c r="E207" s="6" t="s">
        <v>35</v>
      </c>
      <c r="F207" s="6" t="s">
        <v>353</v>
      </c>
      <c r="G207" s="7" t="s">
        <v>369</v>
      </c>
    </row>
    <row r="208" spans="1:7" x14ac:dyDescent="0.35">
      <c r="A208" s="6" t="s">
        <v>370</v>
      </c>
      <c r="B208" s="6" t="s">
        <v>371</v>
      </c>
      <c r="C208" s="6" t="s">
        <v>10</v>
      </c>
      <c r="D208" s="6" t="s">
        <v>57</v>
      </c>
      <c r="E208" s="6" t="s">
        <v>35</v>
      </c>
      <c r="F208" s="6" t="s">
        <v>353</v>
      </c>
      <c r="G208" s="7" t="s">
        <v>372</v>
      </c>
    </row>
    <row r="209" spans="1:7" x14ac:dyDescent="0.35">
      <c r="A209" s="6" t="s">
        <v>370</v>
      </c>
      <c r="B209" s="6" t="s">
        <v>373</v>
      </c>
      <c r="C209" s="6" t="s">
        <v>10</v>
      </c>
      <c r="D209" s="6" t="s">
        <v>57</v>
      </c>
      <c r="E209" s="6" t="s">
        <v>35</v>
      </c>
      <c r="F209" s="6" t="s">
        <v>353</v>
      </c>
      <c r="G209" s="7" t="s">
        <v>374</v>
      </c>
    </row>
    <row r="210" spans="1:7" x14ac:dyDescent="0.35">
      <c r="A210" s="6" t="s">
        <v>375</v>
      </c>
      <c r="B210" s="6" t="s">
        <v>376</v>
      </c>
      <c r="C210" s="6" t="s">
        <v>10</v>
      </c>
      <c r="D210" s="6" t="s">
        <v>60</v>
      </c>
      <c r="E210" s="6" t="s">
        <v>35</v>
      </c>
      <c r="F210" s="6" t="s">
        <v>353</v>
      </c>
      <c r="G210" s="7" t="s">
        <v>377</v>
      </c>
    </row>
    <row r="211" spans="1:7" x14ac:dyDescent="0.35">
      <c r="A211" s="6" t="s">
        <v>366</v>
      </c>
      <c r="B211" s="6" t="s">
        <v>378</v>
      </c>
      <c r="C211" s="6" t="s">
        <v>10</v>
      </c>
      <c r="D211" s="6" t="s">
        <v>368</v>
      </c>
      <c r="E211" s="6" t="s">
        <v>35</v>
      </c>
      <c r="F211" s="6" t="s">
        <v>353</v>
      </c>
      <c r="G211" s="7" t="s">
        <v>379</v>
      </c>
    </row>
    <row r="212" spans="1:7" x14ac:dyDescent="0.35">
      <c r="A212" s="6" t="s">
        <v>380</v>
      </c>
      <c r="B212" s="6" t="s">
        <v>381</v>
      </c>
      <c r="C212" s="6" t="s">
        <v>10</v>
      </c>
      <c r="D212" s="6" t="s">
        <v>50</v>
      </c>
      <c r="E212" s="6" t="s">
        <v>35</v>
      </c>
      <c r="F212" s="6" t="s">
        <v>353</v>
      </c>
      <c r="G212" s="7" t="s">
        <v>382</v>
      </c>
    </row>
    <row r="213" spans="1:7" x14ac:dyDescent="0.35">
      <c r="A213" s="6" t="s">
        <v>383</v>
      </c>
      <c r="B213" s="6" t="s">
        <v>384</v>
      </c>
      <c r="C213" s="6" t="s">
        <v>10</v>
      </c>
      <c r="D213" s="6" t="s">
        <v>54</v>
      </c>
      <c r="E213" s="6" t="s">
        <v>35</v>
      </c>
      <c r="F213" s="6" t="s">
        <v>11</v>
      </c>
      <c r="G213" s="7" t="s">
        <v>385</v>
      </c>
    </row>
    <row r="214" spans="1:7" x14ac:dyDescent="0.35">
      <c r="A214" s="6" t="s">
        <v>383</v>
      </c>
      <c r="B214" s="6" t="s">
        <v>386</v>
      </c>
      <c r="C214" s="6" t="s">
        <v>10</v>
      </c>
      <c r="D214" s="6" t="s">
        <v>54</v>
      </c>
      <c r="E214" s="6" t="s">
        <v>387</v>
      </c>
      <c r="F214" s="6" t="s">
        <v>11</v>
      </c>
      <c r="G214" s="7" t="s">
        <v>388</v>
      </c>
    </row>
    <row r="215" spans="1:7" x14ac:dyDescent="0.35">
      <c r="A215" s="6" t="s">
        <v>383</v>
      </c>
      <c r="B215" s="6" t="s">
        <v>389</v>
      </c>
      <c r="C215" s="6" t="s">
        <v>10</v>
      </c>
      <c r="D215" s="6" t="s">
        <v>54</v>
      </c>
      <c r="E215" s="6" t="s">
        <v>390</v>
      </c>
      <c r="F215" s="6" t="s">
        <v>11</v>
      </c>
      <c r="G215" s="7" t="s">
        <v>391</v>
      </c>
    </row>
    <row r="216" spans="1:7" x14ac:dyDescent="0.35">
      <c r="A216" s="6" t="s">
        <v>383</v>
      </c>
      <c r="B216" s="6" t="s">
        <v>392</v>
      </c>
      <c r="C216" s="6" t="s">
        <v>10</v>
      </c>
      <c r="D216" s="6" t="s">
        <v>54</v>
      </c>
      <c r="E216" s="6" t="s">
        <v>35</v>
      </c>
      <c r="F216" s="6" t="s">
        <v>11</v>
      </c>
      <c r="G216" s="7" t="s">
        <v>393</v>
      </c>
    </row>
    <row r="217" spans="1:7" x14ac:dyDescent="0.35">
      <c r="A217" s="6" t="s">
        <v>383</v>
      </c>
      <c r="B217" s="6" t="s">
        <v>394</v>
      </c>
      <c r="C217" s="6" t="s">
        <v>10</v>
      </c>
      <c r="D217" s="6" t="s">
        <v>54</v>
      </c>
      <c r="E217" s="6" t="s">
        <v>387</v>
      </c>
      <c r="F217" s="6" t="s">
        <v>11</v>
      </c>
      <c r="G217" s="3" t="s">
        <v>395</v>
      </c>
    </row>
    <row r="218" spans="1:7" x14ac:dyDescent="0.35">
      <c r="A218" s="6" t="s">
        <v>383</v>
      </c>
      <c r="B218" s="6" t="s">
        <v>396</v>
      </c>
      <c r="C218" s="6" t="s">
        <v>10</v>
      </c>
      <c r="D218" s="6" t="s">
        <v>54</v>
      </c>
      <c r="E218" s="6" t="s">
        <v>390</v>
      </c>
      <c r="F218" s="8" t="s">
        <v>11</v>
      </c>
      <c r="G218" s="7" t="s">
        <v>397</v>
      </c>
    </row>
    <row r="219" spans="1:7" x14ac:dyDescent="0.35">
      <c r="A219" s="6" t="s">
        <v>383</v>
      </c>
      <c r="B219" s="6" t="s">
        <v>398</v>
      </c>
      <c r="C219" s="6" t="s">
        <v>10</v>
      </c>
      <c r="D219" s="6" t="s">
        <v>54</v>
      </c>
      <c r="E219" s="6" t="s">
        <v>35</v>
      </c>
      <c r="F219" s="8" t="s">
        <v>11</v>
      </c>
      <c r="G219" s="7" t="s">
        <v>399</v>
      </c>
    </row>
    <row r="220" spans="1:7" x14ac:dyDescent="0.35">
      <c r="A220" s="15" t="s">
        <v>418</v>
      </c>
      <c r="B220" s="4"/>
      <c r="C220" s="4"/>
      <c r="D220" s="4"/>
      <c r="E220" s="4"/>
      <c r="F220" s="4"/>
      <c r="G220" s="13"/>
    </row>
    <row r="221" spans="1:7" x14ac:dyDescent="0.35">
      <c r="A221" s="6" t="s">
        <v>400</v>
      </c>
      <c r="B221" s="6" t="s">
        <v>401</v>
      </c>
      <c r="C221" s="6" t="s">
        <v>10</v>
      </c>
      <c r="D221" s="6" t="s">
        <v>35</v>
      </c>
      <c r="E221" s="6" t="s">
        <v>35</v>
      </c>
      <c r="F221" s="8" t="s">
        <v>44</v>
      </c>
      <c r="G221" s="7" t="str">
        <f t="shared" ref="G221:G230" si="4">_xlfn.CONCAT(800,"_",C221,"_",D221,"_",E221,"_",B221)</f>
        <v>800_01_10_10_Engineering organizations</v>
      </c>
    </row>
    <row r="222" spans="1:7" x14ac:dyDescent="0.35">
      <c r="A222" s="6" t="s">
        <v>400</v>
      </c>
      <c r="B222" s="6" t="s">
        <v>402</v>
      </c>
      <c r="C222" s="6" t="s">
        <v>10</v>
      </c>
      <c r="D222" s="6" t="s">
        <v>40</v>
      </c>
      <c r="E222" s="6">
        <v>20</v>
      </c>
      <c r="F222" s="8" t="s">
        <v>37</v>
      </c>
      <c r="G222" s="7" t="str">
        <f t="shared" si="4"/>
        <v>800_01_20_20_Engineering product version numbering rule list members</v>
      </c>
    </row>
    <row r="223" spans="1:7" x14ac:dyDescent="0.35">
      <c r="A223" s="6" t="s">
        <v>400</v>
      </c>
      <c r="B223" s="6" t="s">
        <v>403</v>
      </c>
      <c r="C223" s="6" t="s">
        <v>10</v>
      </c>
      <c r="D223" s="6" t="s">
        <v>35</v>
      </c>
      <c r="E223" s="6" t="s">
        <v>50</v>
      </c>
      <c r="F223" s="8" t="s">
        <v>37</v>
      </c>
      <c r="G223" s="7" t="str">
        <f t="shared" si="4"/>
        <v>800_01_10_30_Engineering product category details</v>
      </c>
    </row>
    <row r="224" spans="1:7" x14ac:dyDescent="0.35">
      <c r="A224" s="6" t="s">
        <v>404</v>
      </c>
      <c r="B224" s="6" t="s">
        <v>405</v>
      </c>
      <c r="C224" s="6" t="s">
        <v>10</v>
      </c>
      <c r="D224" s="6" t="s">
        <v>35</v>
      </c>
      <c r="E224" s="6" t="s">
        <v>57</v>
      </c>
      <c r="F224" s="8" t="s">
        <v>37</v>
      </c>
      <c r="G224" s="7" t="str">
        <f t="shared" si="4"/>
        <v>800_01_10_40_Product owner</v>
      </c>
    </row>
    <row r="225" spans="1:7" x14ac:dyDescent="0.35">
      <c r="A225" s="6" t="s">
        <v>404</v>
      </c>
      <c r="B225" s="6" t="s">
        <v>406</v>
      </c>
      <c r="C225" s="6" t="s">
        <v>10</v>
      </c>
      <c r="D225" s="6" t="s">
        <v>50</v>
      </c>
      <c r="E225" s="6" t="s">
        <v>407</v>
      </c>
      <c r="F225" s="8" t="s">
        <v>37</v>
      </c>
      <c r="G225" s="7" t="str">
        <f t="shared" si="4"/>
        <v>800_01_30_11_Engineering change reasons</v>
      </c>
    </row>
    <row r="226" spans="1:7" x14ac:dyDescent="0.35">
      <c r="A226" s="6" t="s">
        <v>408</v>
      </c>
      <c r="B226" s="6" t="s">
        <v>409</v>
      </c>
      <c r="C226" s="6" t="s">
        <v>10</v>
      </c>
      <c r="D226" s="6" t="s">
        <v>410</v>
      </c>
      <c r="E226" s="6">
        <v>21</v>
      </c>
      <c r="F226" s="8" t="s">
        <v>37</v>
      </c>
      <c r="G226" s="7" t="str">
        <f t="shared" si="4"/>
        <v>800_01_800_21_Engineering change severities</v>
      </c>
    </row>
    <row r="227" spans="1:7" x14ac:dyDescent="0.35">
      <c r="A227" s="6" t="s">
        <v>408</v>
      </c>
      <c r="B227" s="6" t="s">
        <v>411</v>
      </c>
      <c r="C227" s="6" t="s">
        <v>10</v>
      </c>
      <c r="D227" s="6" t="s">
        <v>410</v>
      </c>
      <c r="E227" s="6" t="s">
        <v>36</v>
      </c>
      <c r="F227" s="8" t="s">
        <v>37</v>
      </c>
      <c r="G227" s="7" t="str">
        <f t="shared" si="4"/>
        <v>800_01_800_50_Engineering product version numbering rules</v>
      </c>
    </row>
    <row r="228" spans="1:7" x14ac:dyDescent="0.35">
      <c r="A228" s="6" t="s">
        <v>412</v>
      </c>
      <c r="B228" s="6" t="s">
        <v>413</v>
      </c>
      <c r="C228" s="6" t="s">
        <v>10</v>
      </c>
      <c r="D228" s="6" t="s">
        <v>410</v>
      </c>
      <c r="E228" s="6" t="s">
        <v>60</v>
      </c>
      <c r="F228" s="8" t="s">
        <v>37</v>
      </c>
      <c r="G228" s="7" t="str">
        <f t="shared" si="4"/>
        <v>800_01_800_60_Engineering change management parameter</v>
      </c>
    </row>
    <row r="229" spans="1:7" x14ac:dyDescent="0.35">
      <c r="A229" s="6" t="s">
        <v>412</v>
      </c>
      <c r="B229" s="6" t="s">
        <v>414</v>
      </c>
      <c r="C229" s="6" t="s">
        <v>10</v>
      </c>
      <c r="D229" s="6" t="s">
        <v>410</v>
      </c>
      <c r="E229" s="6" t="s">
        <v>415</v>
      </c>
      <c r="F229" s="8" t="s">
        <v>37</v>
      </c>
      <c r="G229" s="7" t="str">
        <f t="shared" si="4"/>
        <v>800_01_800_12_Engineering change management priorities</v>
      </c>
    </row>
    <row r="230" spans="1:7" x14ac:dyDescent="0.35">
      <c r="A230" s="6" t="s">
        <v>412</v>
      </c>
      <c r="B230" s="6" t="s">
        <v>416</v>
      </c>
      <c r="C230" s="6" t="s">
        <v>10</v>
      </c>
      <c r="D230" s="6" t="s">
        <v>410</v>
      </c>
      <c r="E230" s="6">
        <v>22</v>
      </c>
      <c r="F230" s="8" t="s">
        <v>37</v>
      </c>
      <c r="G230" s="7" t="str">
        <f t="shared" si="4"/>
        <v>800_01_800_22_Engineering change management categories</v>
      </c>
    </row>
    <row r="231" spans="1:7" x14ac:dyDescent="0.35">
      <c r="A231" s="4"/>
      <c r="B231" s="4"/>
      <c r="C231" s="4"/>
      <c r="D231" s="4"/>
      <c r="E231" s="4"/>
      <c r="F231" s="4"/>
      <c r="G231" s="14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Rakesh Darge</cp:lastModifiedBy>
  <cp:revision/>
  <dcterms:created xsi:type="dcterms:W3CDTF">2025-11-04T10:54:57Z</dcterms:created>
  <dcterms:modified xsi:type="dcterms:W3CDTF">2026-03-31T18:10:30Z</dcterms:modified>
  <cp:category/>
  <cp:contentStatus/>
</cp:coreProperties>
</file>